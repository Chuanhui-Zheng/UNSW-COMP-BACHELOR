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55" windowHeight="14628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<sst xmlns="http://schemas.openxmlformats.org/spreadsheetml/2006/main" count="63" uniqueCount="53">
  <si>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 xml:space="preserve">GLUCOSE TOLERANCE TEST ABSORBANCE DATA </t>
  </si>
  <si>
    <t xml:space="preserve">You do not need to submit this Excel sheet for marking. Instead include the second graph in the diagnosis report. </t>
  </si>
  <si>
    <t>You need to calculate values for all the green shaded cells</t>
  </si>
  <si>
    <t>Note: The blood samples were diluted 1 in 10 before tested using spectrophotometry</t>
  </si>
  <si>
    <t xml:space="preserve">Table 1: Absorbance calculations for glucose standards and unknowns </t>
  </si>
  <si>
    <t>n</t>
  </si>
  <si>
    <r>
      <rPr>
        <b/>
        <sz val="11"/>
        <color theme="1"/>
        <rFont val="Calibri"/>
        <charset val="134"/>
        <scheme val="minor"/>
      </rPr>
      <t xml:space="preserve">diluted </t>
    </r>
    <r>
      <rPr>
        <b/>
        <sz val="11"/>
        <color rgb="FF00B050"/>
        <rFont val="Calibri"/>
        <charset val="134"/>
        <scheme val="minor"/>
      </rPr>
      <t>C</t>
    </r>
  </si>
  <si>
    <r>
      <rPr>
        <b/>
        <sz val="11"/>
        <color theme="1"/>
        <rFont val="Calibri"/>
        <charset val="134"/>
        <scheme val="minor"/>
      </rPr>
      <t xml:space="preserve">original </t>
    </r>
    <r>
      <rPr>
        <b/>
        <sz val="11"/>
        <color rgb="FF00B050"/>
        <rFont val="Calibri"/>
        <charset val="134"/>
        <scheme val="minor"/>
      </rPr>
      <t>C</t>
    </r>
  </si>
  <si>
    <r>
      <rPr>
        <b/>
        <sz val="11"/>
        <color theme="1"/>
        <rFont val="Calibri"/>
        <charset val="134"/>
        <scheme val="minor"/>
      </rPr>
      <t>Addition</t>
    </r>
    <r>
      <rPr>
        <b/>
        <sz val="11"/>
        <color rgb="FFC00000"/>
        <rFont val="Calibri"/>
        <charset val="134"/>
        <scheme val="minor"/>
      </rPr>
      <t xml:space="preserve"> V</t>
    </r>
  </si>
  <si>
    <t>Absorbance Reading 1</t>
  </si>
  <si>
    <t>Absorbance Reading 2</t>
  </si>
  <si>
    <t>Absorbance Reading 3</t>
  </si>
  <si>
    <t>Average Absorbance</t>
  </si>
  <si>
    <t>Corrected Absorbance (subtract the background)</t>
  </si>
  <si>
    <t>Amount of Glucose (mmol)</t>
  </si>
  <si>
    <t>Concentration of glucose in diluted serum samples (mmol/L)</t>
  </si>
  <si>
    <t>Concentration of glucose in original serum samples (mmol/L)</t>
  </si>
  <si>
    <t>Standards</t>
  </si>
  <si>
    <t>0 L of standard</t>
  </si>
  <si>
    <t>0.00001 L of standard</t>
  </si>
  <si>
    <t>0.00002 L of standard</t>
  </si>
  <si>
    <t>0.00003 L of standard</t>
  </si>
  <si>
    <t>0.00004 L of standard</t>
  </si>
  <si>
    <t>0.00005 L of standard</t>
  </si>
  <si>
    <t>Serum Samples from Healthy Individual</t>
  </si>
  <si>
    <t>0.00005 L of 0 min serum</t>
  </si>
  <si>
    <t>An example calculation to get the glucose concentation in the original serum sample</t>
  </si>
  <si>
    <t>0.00005 L of 30 min serum</t>
  </si>
  <si>
    <r>
      <rPr>
        <sz val="10"/>
        <rFont val="Arial"/>
        <charset val="134"/>
      </rPr>
      <t xml:space="preserve">Use </t>
    </r>
    <r>
      <rPr>
        <b/>
        <sz val="10"/>
        <color rgb="FF00B050"/>
        <rFont val="Arial"/>
        <charset val="134"/>
      </rPr>
      <t>C</t>
    </r>
    <r>
      <rPr>
        <sz val="10"/>
        <rFont val="Arial"/>
        <charset val="134"/>
      </rPr>
      <t>=</t>
    </r>
    <r>
      <rPr>
        <b/>
        <sz val="10"/>
        <color theme="8"/>
        <rFont val="Arial"/>
        <charset val="134"/>
      </rPr>
      <t>n</t>
    </r>
    <r>
      <rPr>
        <sz val="10"/>
        <rFont val="Arial"/>
        <charset val="134"/>
      </rPr>
      <t>/</t>
    </r>
    <r>
      <rPr>
        <b/>
        <sz val="10"/>
        <color rgb="FFC00000"/>
        <rFont val="Arial"/>
        <charset val="134"/>
      </rPr>
      <t>V</t>
    </r>
  </si>
  <si>
    <t>0.00005 L of 60 min serum</t>
  </si>
  <si>
    <t>n obtained from the standard curve</t>
  </si>
  <si>
    <t>0.00005 L of 90 min serum</t>
  </si>
  <si>
    <r>
      <rPr>
        <b/>
        <sz val="10"/>
        <color rgb="FFC00000"/>
        <rFont val="Arial"/>
        <charset val="134"/>
      </rPr>
      <t>V</t>
    </r>
    <r>
      <rPr>
        <sz val="10"/>
        <rFont val="Arial"/>
        <charset val="134"/>
      </rPr>
      <t xml:space="preserve"> = 0.00005 L</t>
    </r>
  </si>
  <si>
    <t>0.00005 L of 120 min serum</t>
  </si>
  <si>
    <t>dilution factor = 10 for all serum samples</t>
  </si>
  <si>
    <t>0.00005 L of 150 min serum</t>
  </si>
  <si>
    <r>
      <rPr>
        <sz val="10"/>
        <color theme="1"/>
        <rFont val="Arial"/>
        <charset val="134"/>
      </rPr>
      <t xml:space="preserve">if </t>
    </r>
    <r>
      <rPr>
        <b/>
        <sz val="10"/>
        <color rgb="FF0070C0"/>
        <rFont val="Arial"/>
        <charset val="134"/>
      </rPr>
      <t>n</t>
    </r>
    <r>
      <rPr>
        <sz val="10"/>
        <rFont val="Arial"/>
        <charset val="134"/>
      </rPr>
      <t xml:space="preserve"> = 0.000023 mmol</t>
    </r>
  </si>
  <si>
    <t>0.00005 L of 180 min serum</t>
  </si>
  <si>
    <t>Serum Samples from Alicia</t>
  </si>
  <si>
    <t>diluted concentration</t>
  </si>
  <si>
    <t xml:space="preserve">C = </t>
  </si>
  <si>
    <t>0.000023 mmol / 0.00005 L</t>
  </si>
  <si>
    <t>C =</t>
  </si>
  <si>
    <t>mmol/L</t>
  </si>
  <si>
    <t>original concentration</t>
  </si>
  <si>
    <t>0.46 mmol/L x 10</t>
  </si>
  <si>
    <r>
      <rPr>
        <b/>
        <sz val="10"/>
        <color rgb="FF00B050"/>
        <rFont val="Arial"/>
        <charset val="134"/>
      </rPr>
      <t>C</t>
    </r>
    <r>
      <rPr>
        <b/>
        <sz val="10"/>
        <color theme="5" tint="-0.249977111117893"/>
        <rFont val="Arial"/>
        <charset val="134"/>
      </rPr>
      <t xml:space="preserve"> </t>
    </r>
    <r>
      <rPr>
        <b/>
        <sz val="10"/>
        <rFont val="Arial"/>
        <charset val="134"/>
      </rPr>
      <t xml:space="preserve">= </t>
    </r>
  </si>
  <si>
    <t xml:space="preserve">Summary Table </t>
  </si>
  <si>
    <t>Transfer the original concentrations calculated in column K to this table</t>
  </si>
  <si>
    <t>Use the data from this table to plot a graph of concentration of serum glucose against time</t>
  </si>
  <si>
    <t>Time (mins)</t>
  </si>
  <si>
    <t>Healthy Person</t>
  </si>
  <si>
    <t>Alicia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</si>
</sst>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.0"/>
    <numFmt numFmtId="180" formatCode="0.000000"/>
  </numFmts>
  <fonts count="37">
    <font>
      <sz val="11"/>
      <color theme="1"/>
      <name val="Calibri"/>
      <charset val="134"/>
      <scheme val="minor"/>
    </font>
    <font>
      <b/>
      <sz val="16"/>
      <color rgb="FF7030A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8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B050"/>
      <name val="Arial"/>
      <charset val="134"/>
    </font>
    <font>
      <b/>
      <sz val="10"/>
      <color theme="8"/>
      <name val="Arial"/>
      <charset val="134"/>
    </font>
    <font>
      <b/>
      <sz val="10"/>
      <color rgb="FFC00000"/>
      <name val="Arial"/>
      <charset val="134"/>
    </font>
    <font>
      <b/>
      <sz val="11"/>
      <color rgb="FFC0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0"/>
      <color theme="1"/>
      <name val="Arial"/>
      <charset val="134"/>
    </font>
    <font>
      <b/>
      <sz val="10"/>
      <color rgb="FF0070C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4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2" applyNumberFormat="0" applyFill="0" applyAlignment="0" applyProtection="0">
      <alignment vertical="center"/>
    </xf>
    <xf numFmtId="0" fontId="17" fillId="0" borderId="42" applyNumberFormat="0" applyFill="0" applyAlignment="0" applyProtection="0">
      <alignment vertical="center"/>
    </xf>
    <xf numFmtId="0" fontId="18" fillId="0" borderId="4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4" applyNumberFormat="0" applyAlignment="0" applyProtection="0">
      <alignment vertical="center"/>
    </xf>
    <xf numFmtId="0" fontId="20" fillId="9" borderId="45" applyNumberFormat="0" applyAlignment="0" applyProtection="0">
      <alignment vertical="center"/>
    </xf>
    <xf numFmtId="0" fontId="21" fillId="9" borderId="44" applyNumberFormat="0" applyAlignment="0" applyProtection="0">
      <alignment vertical="center"/>
    </xf>
    <xf numFmtId="0" fontId="22" fillId="10" borderId="46" applyNumberFormat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6" applyFont="1" applyAlignment="1"/>
    <xf numFmtId="0" fontId="3" fillId="2" borderId="0" xfId="6" applyFont="1" applyFill="1" applyAlignment="1"/>
    <xf numFmtId="0" fontId="0" fillId="2" borderId="0" xfId="0" applyFont="1" applyFill="1" applyAlignment="1"/>
    <xf numFmtId="0" fontId="3" fillId="0" borderId="0" xfId="6" applyFont="1" applyFill="1" applyAlignment="1"/>
    <xf numFmtId="0" fontId="4" fillId="0" borderId="0" xfId="0" applyFont="1" applyFill="1" applyAlignment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/>
    <xf numFmtId="178" fontId="0" fillId="0" borderId="4" xfId="0" applyNumberFormat="1" applyFont="1" applyFill="1" applyBorder="1" applyAlignment="1"/>
    <xf numFmtId="178" fontId="0" fillId="0" borderId="5" xfId="0" applyNumberFormat="1" applyFont="1" applyFill="1" applyBorder="1" applyAlignment="1"/>
    <xf numFmtId="178" fontId="0" fillId="0" borderId="6" xfId="0" applyNumberFormat="1" applyFont="1" applyFill="1" applyBorder="1" applyAlignment="1"/>
    <xf numFmtId="2" fontId="0" fillId="3" borderId="7" xfId="0" applyNumberFormat="1" applyFont="1" applyFill="1" applyBorder="1" applyAlignment="1"/>
    <xf numFmtId="2" fontId="0" fillId="4" borderId="8" xfId="0" applyNumberFormat="1" applyFont="1" applyFill="1" applyBorder="1" applyAlignment="1"/>
    <xf numFmtId="0" fontId="4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/>
    <xf numFmtId="178" fontId="0" fillId="0" borderId="11" xfId="0" applyNumberFormat="1" applyFont="1" applyFill="1" applyBorder="1" applyAlignment="1"/>
    <xf numFmtId="178" fontId="0" fillId="0" borderId="12" xfId="0" applyNumberFormat="1" applyFont="1" applyFill="1" applyBorder="1" applyAlignment="1"/>
    <xf numFmtId="178" fontId="0" fillId="0" borderId="13" xfId="0" applyNumberFormat="1" applyFont="1" applyFill="1" applyBorder="1" applyAlignment="1"/>
    <xf numFmtId="0" fontId="4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/>
    <xf numFmtId="178" fontId="0" fillId="0" borderId="16" xfId="0" applyNumberFormat="1" applyFont="1" applyFill="1" applyBorder="1" applyAlignment="1"/>
    <xf numFmtId="178" fontId="0" fillId="0" borderId="17" xfId="0" applyNumberFormat="1" applyFont="1" applyFill="1" applyBorder="1" applyAlignment="1"/>
    <xf numFmtId="178" fontId="0" fillId="0" borderId="18" xfId="0" applyNumberFormat="1" applyFont="1" applyFill="1" applyBorder="1" applyAlignment="1"/>
    <xf numFmtId="0" fontId="4" fillId="0" borderId="2" xfId="0" applyFont="1" applyFill="1" applyBorder="1" applyAlignment="1">
      <alignment horizontal="center" vertical="center" wrapText="1"/>
    </xf>
    <xf numFmtId="2" fontId="0" fillId="3" borderId="8" xfId="0" applyNumberFormat="1" applyFont="1" applyFill="1" applyBorder="1" applyAlignment="1"/>
    <xf numFmtId="0" fontId="4" fillId="0" borderId="9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/>
    </xf>
    <xf numFmtId="179" fontId="0" fillId="0" borderId="23" xfId="0" applyNumberFormat="1" applyFont="1" applyFill="1" applyBorder="1" applyAlignment="1">
      <alignment horizontal="center"/>
    </xf>
    <xf numFmtId="179" fontId="0" fillId="0" borderId="24" xfId="0" applyNumberFormat="1" applyFont="1" applyFill="1" applyBorder="1" applyAlignment="1">
      <alignment horizontal="center"/>
    </xf>
    <xf numFmtId="0" fontId="0" fillId="0" borderId="25" xfId="0" applyFont="1" applyFill="1" applyBorder="1" applyAlignment="1">
      <alignment horizontal="center"/>
    </xf>
    <xf numFmtId="179" fontId="0" fillId="0" borderId="25" xfId="0" applyNumberFormat="1" applyFont="1" applyFill="1" applyBorder="1" applyAlignment="1">
      <alignment horizontal="center"/>
    </xf>
    <xf numFmtId="179" fontId="0" fillId="0" borderId="2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179" fontId="0" fillId="0" borderId="27" xfId="0" applyNumberFormat="1" applyFont="1" applyFill="1" applyBorder="1" applyAlignment="1">
      <alignment horizontal="center"/>
    </xf>
    <xf numFmtId="179" fontId="0" fillId="0" borderId="28" xfId="0" applyNumberFormat="1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178" fontId="0" fillId="0" borderId="0" xfId="0" applyNumberFormat="1" applyFont="1" applyFill="1" applyAlignment="1"/>
    <xf numFmtId="179" fontId="0" fillId="0" borderId="0" xfId="0" applyNumberFormat="1" applyFont="1" applyFill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wrapText="1"/>
    </xf>
    <xf numFmtId="180" fontId="0" fillId="5" borderId="31" xfId="0" applyNumberFormat="1" applyFont="1" applyFill="1" applyBorder="1" applyAlignment="1"/>
    <xf numFmtId="0" fontId="0" fillId="6" borderId="0" xfId="0" applyFont="1" applyFill="1" applyAlignment="1"/>
    <xf numFmtId="180" fontId="0" fillId="5" borderId="32" xfId="0" applyNumberFormat="1" applyFont="1" applyFill="1" applyBorder="1" applyAlignment="1"/>
    <xf numFmtId="0" fontId="0" fillId="0" borderId="19" xfId="0" applyFont="1" applyFill="1" applyBorder="1" applyAlignment="1"/>
    <xf numFmtId="0" fontId="0" fillId="0" borderId="33" xfId="0" applyFont="1" applyFill="1" applyBorder="1" applyAlignment="1"/>
    <xf numFmtId="180" fontId="0" fillId="5" borderId="34" xfId="0" applyNumberFormat="1" applyFont="1" applyFill="1" applyBorder="1" applyAlignment="1"/>
    <xf numFmtId="0" fontId="0" fillId="0" borderId="35" xfId="0" applyFont="1" applyFill="1" applyBorder="1" applyAlignment="1"/>
    <xf numFmtId="180" fontId="0" fillId="3" borderId="36" xfId="0" applyNumberFormat="1" applyFont="1" applyFill="1" applyBorder="1" applyAlignment="1"/>
    <xf numFmtId="2" fontId="6" fillId="3" borderId="31" xfId="0" applyNumberFormat="1" applyFont="1" applyFill="1" applyBorder="1" applyAlignment="1"/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/>
    <xf numFmtId="0" fontId="9" fillId="0" borderId="0" xfId="0" applyFont="1" applyFill="1" applyAlignment="1"/>
    <xf numFmtId="0" fontId="0" fillId="0" borderId="37" xfId="0" applyFont="1" applyFill="1" applyBorder="1" applyAlignment="1"/>
    <xf numFmtId="0" fontId="0" fillId="0" borderId="38" xfId="0" applyFont="1" applyFill="1" applyBorder="1" applyAlignment="1"/>
    <xf numFmtId="0" fontId="10" fillId="0" borderId="38" xfId="0" applyFont="1" applyFill="1" applyBorder="1" applyAlignment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/>
    <xf numFmtId="0" fontId="3" fillId="0" borderId="0" xfId="0" applyFont="1" applyFill="1" applyAlignment="1"/>
    <xf numFmtId="0" fontId="0" fillId="0" borderId="20" xfId="0" applyFont="1" applyFill="1" applyBorder="1" applyAlignment="1"/>
    <xf numFmtId="0" fontId="0" fillId="0" borderId="39" xfId="0" applyFont="1" applyFill="1" applyBorder="1" applyAlignment="1"/>
    <xf numFmtId="0" fontId="0" fillId="0" borderId="40" xfId="0" applyFont="1" applyFill="1" applyBorder="1" applyAlignment="1"/>
    <xf numFmtId="2" fontId="0" fillId="0" borderId="0" xfId="0" applyNumberFormat="1" applyFont="1" applyFill="1" applyAlignment="1"/>
    <xf numFmtId="2" fontId="7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"Glucose Tolerance Test Standard Curve"</c:f>
              <c:strCache>
                <c:ptCount val="1"/>
                <c:pt idx="0">
                  <c:v>Glucose Tolerance Test Standard Curve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0249247594050744"/>
                  <c:y val="-0.0892144211140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[1]Sheet1!$I$11:$I$16</c:f>
              <c:numCache>
                <c:formatCode>General</c:formatCode>
                <c:ptCount val="6"/>
                <c:pt idx="0">
                  <c:v>0</c:v>
                </c:pt>
                <c:pt idx="1">
                  <c:v>2e-5</c:v>
                </c:pt>
                <c:pt idx="2">
                  <c:v>4e-5</c:v>
                </c:pt>
                <c:pt idx="3">
                  <c:v>6e-5</c:v>
                </c:pt>
                <c:pt idx="4">
                  <c:v>8e-5</c:v>
                </c:pt>
                <c:pt idx="5">
                  <c:v>0.0001</c:v>
                </c:pt>
              </c:numCache>
            </c:numRef>
          </c:xVal>
          <c:yVal>
            <c:numRef>
              <c:f>[1]Sheet1!$H$11:$H$16</c:f>
              <c:numCache>
                <c:formatCode>General</c:formatCode>
                <c:ptCount val="6"/>
                <c:pt idx="0">
                  <c:v>0</c:v>
                </c:pt>
                <c:pt idx="1">
                  <c:v>0.212167113462669</c:v>
                </c:pt>
                <c:pt idx="2">
                  <c:v>0.489591075837743</c:v>
                </c:pt>
                <c:pt idx="3">
                  <c:v>0.713946431510876</c:v>
                </c:pt>
                <c:pt idx="4">
                  <c:v>0.986964232804233</c:v>
                </c:pt>
                <c:pt idx="5">
                  <c:v>1.32538915931805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888536"/>
        <c:axId val="515290936"/>
      </c:scatterChart>
      <c:valAx>
        <c:axId val="47088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of Glucose (mmol)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5290936"/>
        <c:crosses val="autoZero"/>
        <c:crossBetween val="midCat"/>
      </c:valAx>
      <c:valAx>
        <c:axId val="51529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of Glucose at 450 nm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88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8aadad-396a-4a5c-885b-8bede4894b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</a:t>
            </a:r>
            <a:r>
              <a:rPr lang="en-US" baseline="0"/>
              <a:t> Levels of Individuals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[1]Sheet1!$D$39:$D$45</c:f>
              <c:strCache>
                <c:ptCount val="1"/>
                <c:pt idx="0">
                  <c:v>0 30 60 90 120 150 180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[1]Sheet1!$D$39:$D$45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[1]Sheet1!$E$39:$E$45</c:f>
              <c:numCache>
                <c:formatCode>General</c:formatCode>
                <c:ptCount val="7"/>
                <c:pt idx="0">
                  <c:v>4.54585719437419</c:v>
                </c:pt>
                <c:pt idx="1">
                  <c:v>7.25375267465535</c:v>
                </c:pt>
                <c:pt idx="2">
                  <c:v>8.15158528740096</c:v>
                </c:pt>
                <c:pt idx="3">
                  <c:v>7.55853964236754</c:v>
                </c:pt>
                <c:pt idx="4">
                  <c:v>5.44497949640134</c:v>
                </c:pt>
                <c:pt idx="5">
                  <c:v>5.46501706850894</c:v>
                </c:pt>
                <c:pt idx="6">
                  <c:v>5.40741993888255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"Alicia"</c:f>
              <c:strCache>
                <c:ptCount val="1"/>
                <c:pt idx="0">
                  <c:v>Alicia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[1]Sheet1!$D$39:$D$45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[1]Sheet1!$F$39:$F$45</c:f>
              <c:numCache>
                <c:formatCode>General</c:formatCode>
                <c:ptCount val="7"/>
                <c:pt idx="0">
                  <c:v>4.60293775494662</c:v>
                </c:pt>
                <c:pt idx="1">
                  <c:v>7.45965657285914</c:v>
                </c:pt>
                <c:pt idx="2">
                  <c:v>8.32731448702132</c:v>
                </c:pt>
                <c:pt idx="3">
                  <c:v>7.7221658696403</c:v>
                </c:pt>
                <c:pt idx="4">
                  <c:v>5.56547184314416</c:v>
                </c:pt>
                <c:pt idx="5">
                  <c:v>5.62209149539108</c:v>
                </c:pt>
                <c:pt idx="6">
                  <c:v>5.52714576404337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657600"/>
        <c:axId val="587659040"/>
      </c:scatterChart>
      <c:valAx>
        <c:axId val="5876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659040"/>
        <c:crosses val="autoZero"/>
        <c:crossBetween val="midCat"/>
      </c:valAx>
      <c:valAx>
        <c:axId val="5876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of Glucose  (mmol)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65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f2b9d6-e099-47f7-acc1-be632450fe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33</xdr:row>
      <xdr:rowOff>0</xdr:rowOff>
    </xdr:from>
    <xdr:to>
      <xdr:col>12</xdr:col>
      <xdr:colOff>550333</xdr:colOff>
      <xdr:row>45</xdr:row>
      <xdr:rowOff>145463</xdr:rowOff>
    </xdr:to>
    <xdr:sp>
      <xdr:nvSpPr>
        <xdr:cNvPr id="2" name="TextBox 9"/>
        <xdr:cNvSpPr txBox="1"/>
      </xdr:nvSpPr>
      <xdr:spPr>
        <a:xfrm>
          <a:off x="10158730" y="6979920"/>
          <a:ext cx="8544560" cy="2378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b="1"/>
            <a:t>Steps to analyse data</a:t>
          </a:r>
          <a:endParaRPr lang="en-AU" b="1"/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the average.</a:t>
          </a:r>
          <a:endParaRPr lang="en-AU" sz="18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Subtract the background reading from the data.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standard 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 the standard curve to find the amount of glucose in the collected samples.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 the C = n/V equation to find the diluted concentration of glucose.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 the dilution factor to find the original concentration of glucose.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Plot a graph of concentration of glucose against time for the normal individual and Alicia.</a:t>
          </a:r>
          <a:endParaRPr lang="en-AU">
            <a:effectLst/>
          </a:endParaRPr>
        </a:p>
      </xdr:txBody>
    </xdr:sp>
    <xdr:clientData/>
  </xdr:twoCellAnchor>
  <xdr:twoCellAnchor>
    <xdr:from>
      <xdr:col>4</xdr:col>
      <xdr:colOff>46355</xdr:colOff>
      <xdr:row>46</xdr:row>
      <xdr:rowOff>111125</xdr:rowOff>
    </xdr:from>
    <xdr:to>
      <xdr:col>6</xdr:col>
      <xdr:colOff>1168154</xdr:colOff>
      <xdr:row>61</xdr:row>
      <xdr:rowOff>35508</xdr:rowOff>
    </xdr:to>
    <xdr:graphicFrame>
      <xdr:nvGraphicFramePr>
        <xdr:cNvPr id="3" name="Chart 2"/>
        <xdr:cNvGraphicFramePr/>
      </xdr:nvGraphicFramePr>
      <xdr:xfrm>
        <a:off x="5346065" y="9506585"/>
        <a:ext cx="4706620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146050</xdr:colOff>
      <xdr:row>46</xdr:row>
      <xdr:rowOff>158115</xdr:rowOff>
    </xdr:from>
    <xdr:to>
      <xdr:col>9</xdr:col>
      <xdr:colOff>741603</xdr:colOff>
      <xdr:row>60</xdr:row>
      <xdr:rowOff>67985</xdr:rowOff>
    </xdr:to>
    <xdr:graphicFrame>
      <xdr:nvGraphicFramePr>
        <xdr:cNvPr id="4" name="Chart 3"/>
        <xdr:cNvGraphicFramePr/>
      </xdr:nvGraphicFramePr>
      <xdr:xfrm>
        <a:off x="10304780" y="9553575"/>
        <a:ext cx="4386580" cy="250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obo\Desktop\pending%20misconduct\corrected%20Alicias%20Glucose%20Tolerance%20Data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05"/>
  <sheetViews>
    <sheetView tabSelected="1" topLeftCell="A3" workbookViewId="0">
      <selection activeCell="B10" sqref="B10"/>
    </sheetView>
  </sheetViews>
  <sheetFormatPr defaultColWidth="9" defaultRowHeight="14.4"/>
  <cols>
    <col min="1" max="1" width="9" style="1"/>
    <col min="2" max="2" width="23.1388888888889" style="1" customWidth="1"/>
    <col min="3" max="3" width="26.287037037037" style="1" customWidth="1"/>
    <col min="4" max="4" width="18.8518518518519" style="1" customWidth="1"/>
    <col min="5" max="5" width="24.4259259259259" style="1" customWidth="1"/>
    <col min="6" max="6" width="27.8518518518519" style="1" customWidth="1"/>
    <col min="7" max="7" width="18.5740740740741" style="1" customWidth="1"/>
    <col min="8" max="8" width="23.287037037037" style="1" customWidth="1"/>
    <col min="9" max="9" width="32" style="1" customWidth="1"/>
    <col min="10" max="10" width="26.5740740740741" style="1" customWidth="1"/>
    <col min="11" max="11" width="25.712962962963" style="1" customWidth="1"/>
    <col min="12" max="14" width="9" style="1"/>
    <col min="15" max="15" width="10.8518518518519" style="1" customWidth="1"/>
    <col min="16" max="16384" width="9" style="1"/>
  </cols>
  <sheetData>
    <row r="2" s="1" customFormat="1" ht="21" spans="2:5">
      <c r="B2" s="2" t="s">
        <v>0</v>
      </c>
      <c r="E2" s="3" t="s">
        <v>1</v>
      </c>
    </row>
    <row r="3" s="1" customFormat="1" spans="2:2">
      <c r="B3" s="4" t="s">
        <v>2</v>
      </c>
    </row>
    <row r="4" s="1" customFormat="1" spans="2:6">
      <c r="B4" s="5" t="s">
        <v>3</v>
      </c>
      <c r="C4" s="6"/>
      <c r="D4" s="6"/>
      <c r="E4" s="6"/>
      <c r="F4" s="6"/>
    </row>
    <row r="5" s="1" customFormat="1" spans="2:2">
      <c r="B5" s="7"/>
    </row>
    <row r="6" s="1" customFormat="1" ht="14.1" customHeight="1" spans="2:6">
      <c r="B6" s="8" t="s">
        <v>4</v>
      </c>
      <c r="F6" s="3"/>
    </row>
    <row r="7" s="1" customFormat="1" ht="14.1" customHeight="1" spans="2:6">
      <c r="B7" s="8"/>
      <c r="F7" s="3"/>
    </row>
    <row r="8" s="1" customFormat="1" ht="14.1" customHeight="1" spans="2:6">
      <c r="B8" s="8"/>
      <c r="F8" s="3"/>
    </row>
    <row r="9" s="1" customFormat="1" spans="9:11">
      <c r="I9" s="50" t="s">
        <v>5</v>
      </c>
      <c r="J9" s="51" t="s">
        <v>6</v>
      </c>
      <c r="K9" s="51" t="s">
        <v>7</v>
      </c>
    </row>
    <row r="10" s="1" customFormat="1" ht="76.5" customHeight="1" spans="3:11">
      <c r="C10" s="9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10" t="s">
        <v>13</v>
      </c>
      <c r="I10" s="52" t="s">
        <v>14</v>
      </c>
      <c r="J10" s="53" t="s">
        <v>15</v>
      </c>
      <c r="K10" s="53" t="s">
        <v>16</v>
      </c>
    </row>
    <row r="11" s="1" customFormat="1" ht="14.45" customHeight="1" spans="2:11">
      <c r="B11" s="11" t="s">
        <v>17</v>
      </c>
      <c r="C11" s="12" t="s">
        <v>18</v>
      </c>
      <c r="D11" s="13">
        <v>0.0300034038800706</v>
      </c>
      <c r="E11" s="14">
        <v>0.0290271781305115</v>
      </c>
      <c r="F11" s="15">
        <v>0.0280509523809524</v>
      </c>
      <c r="G11" s="16">
        <f t="shared" ref="G11:G30" si="0">AVERAGE(D11:F11)</f>
        <v>0.0290271781305115</v>
      </c>
      <c r="H11" s="17">
        <f t="shared" ref="H11:H30" si="1">G11-$G$11</f>
        <v>0</v>
      </c>
      <c r="I11" s="54">
        <v>0</v>
      </c>
      <c r="J11" s="55"/>
      <c r="K11" s="55"/>
    </row>
    <row r="12" s="1" customFormat="1" ht="14.45" customHeight="1" spans="2:11">
      <c r="B12" s="18"/>
      <c r="C12" s="19" t="s">
        <v>19</v>
      </c>
      <c r="D12" s="20">
        <v>0.231</v>
      </c>
      <c r="E12" s="21">
        <v>0.24</v>
      </c>
      <c r="F12" s="22">
        <v>0.252582874779541</v>
      </c>
      <c r="G12" s="16">
        <f t="shared" si="0"/>
        <v>0.24119429159318</v>
      </c>
      <c r="H12" s="17">
        <f t="shared" si="1"/>
        <v>0.212167113462669</v>
      </c>
      <c r="I12" s="56">
        <v>2e-5</v>
      </c>
      <c r="J12" s="55"/>
      <c r="K12" s="55"/>
    </row>
    <row r="13" s="1" customFormat="1" ht="14.45" customHeight="1" spans="2:11">
      <c r="B13" s="18"/>
      <c r="C13" s="19" t="s">
        <v>20</v>
      </c>
      <c r="D13" s="20">
        <v>0.517</v>
      </c>
      <c r="E13" s="21">
        <v>0.51</v>
      </c>
      <c r="F13" s="22">
        <v>0.528854761904762</v>
      </c>
      <c r="G13" s="16">
        <f t="shared" si="0"/>
        <v>0.518618253968254</v>
      </c>
      <c r="H13" s="17">
        <f t="shared" si="1"/>
        <v>0.489591075837743</v>
      </c>
      <c r="I13" s="56">
        <v>4e-5</v>
      </c>
      <c r="J13" s="55"/>
      <c r="K13" s="55"/>
    </row>
    <row r="14" s="1" customFormat="1" ht="14.45" customHeight="1" spans="2:11">
      <c r="B14" s="18"/>
      <c r="C14" s="19" t="s">
        <v>21</v>
      </c>
      <c r="D14" s="20">
        <v>0.774863650793651</v>
      </c>
      <c r="E14" s="21">
        <v>0.728004814814815</v>
      </c>
      <c r="F14" s="22">
        <v>0.726052363315697</v>
      </c>
      <c r="G14" s="16">
        <f t="shared" si="0"/>
        <v>0.742973609641388</v>
      </c>
      <c r="H14" s="17">
        <f t="shared" si="1"/>
        <v>0.713946431510876</v>
      </c>
      <c r="I14" s="56">
        <v>6e-5</v>
      </c>
      <c r="J14" s="55"/>
      <c r="K14" s="55"/>
    </row>
    <row r="15" s="1" customFormat="1" ht="14.45" customHeight="1" spans="2:25">
      <c r="B15" s="18"/>
      <c r="C15" s="19" t="s">
        <v>22</v>
      </c>
      <c r="D15" s="20">
        <v>1.01599141093474</v>
      </c>
      <c r="E15" s="21">
        <v>1.03551592592593</v>
      </c>
      <c r="F15" s="22">
        <v>0.996466895943563</v>
      </c>
      <c r="G15" s="16">
        <f t="shared" si="0"/>
        <v>1.01599141093474</v>
      </c>
      <c r="H15" s="17">
        <f t="shared" si="1"/>
        <v>0.986964232804233</v>
      </c>
      <c r="I15" s="56">
        <v>8e-5</v>
      </c>
      <c r="J15" s="55"/>
      <c r="K15" s="55"/>
      <c r="M15" s="5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73"/>
    </row>
    <row r="16" s="1" customFormat="1" ht="14.45" customHeight="1" spans="2:25">
      <c r="B16" s="23"/>
      <c r="C16" s="24" t="s">
        <v>23</v>
      </c>
      <c r="D16" s="25">
        <v>1.36743268077601</v>
      </c>
      <c r="E16" s="26">
        <v>1.30885913580247</v>
      </c>
      <c r="F16" s="27">
        <v>1.3869571957672</v>
      </c>
      <c r="G16" s="16">
        <f t="shared" si="0"/>
        <v>1.35441633744856</v>
      </c>
      <c r="H16" s="17">
        <f t="shared" si="1"/>
        <v>1.32538915931805</v>
      </c>
      <c r="I16" s="59">
        <v>0.0001</v>
      </c>
      <c r="J16" s="55"/>
      <c r="K16" s="55"/>
      <c r="M16" s="60"/>
      <c r="Y16" s="74"/>
    </row>
    <row r="17" s="1" customFormat="1" ht="15.15" spans="2:25">
      <c r="B17" s="28" t="s">
        <v>24</v>
      </c>
      <c r="C17" s="12" t="s">
        <v>25</v>
      </c>
      <c r="D17" s="13">
        <v>0.313624404938272</v>
      </c>
      <c r="E17" s="14">
        <v>0.318624404938272</v>
      </c>
      <c r="F17" s="15">
        <v>0.317</v>
      </c>
      <c r="G17" s="16">
        <f t="shared" si="0"/>
        <v>0.316416269958848</v>
      </c>
      <c r="H17" s="29">
        <f t="shared" si="1"/>
        <v>0.287389091828336</v>
      </c>
      <c r="I17" s="61">
        <f t="shared" ref="I17:I30" si="2">H17/12644</f>
        <v>2.2729285971871e-5</v>
      </c>
      <c r="J17" s="29">
        <f t="shared" ref="J17:J30" si="3">I17/0.00005</f>
        <v>0.454585719437419</v>
      </c>
      <c r="K17" s="62">
        <f t="shared" ref="K17:K30" si="4">J17*10</f>
        <v>4.54585719437419</v>
      </c>
      <c r="M17" s="60"/>
      <c r="P17" s="63" t="s">
        <v>26</v>
      </c>
      <c r="Y17" s="74"/>
    </row>
    <row r="18" s="1" customFormat="1" ht="14.45" customHeight="1" spans="2:25">
      <c r="B18" s="30"/>
      <c r="C18" s="19" t="s">
        <v>27</v>
      </c>
      <c r="D18" s="20">
        <v>0.489657432098765</v>
      </c>
      <c r="E18" s="21">
        <v>0.491570834567901</v>
      </c>
      <c r="F18" s="22">
        <v>0.4816</v>
      </c>
      <c r="G18" s="16">
        <f t="shared" si="0"/>
        <v>0.487609422222222</v>
      </c>
      <c r="H18" s="29">
        <f t="shared" si="1"/>
        <v>0.458582244091711</v>
      </c>
      <c r="I18" s="61">
        <f t="shared" si="2"/>
        <v>3.62687633732767e-5</v>
      </c>
      <c r="J18" s="29">
        <f t="shared" si="3"/>
        <v>0.725375267465534</v>
      </c>
      <c r="K18" s="62">
        <f t="shared" si="4"/>
        <v>7.25375267465534</v>
      </c>
      <c r="M18" s="60"/>
      <c r="P18" s="64" t="s">
        <v>28</v>
      </c>
      <c r="Y18" s="74"/>
    </row>
    <row r="19" s="1" customFormat="1" ht="14.45" customHeight="1" spans="2:25">
      <c r="B19" s="30"/>
      <c r="C19" s="19" t="s">
        <v>29</v>
      </c>
      <c r="D19" s="20">
        <v>0.5425378</v>
      </c>
      <c r="E19" s="21">
        <v>0.546203</v>
      </c>
      <c r="F19" s="22">
        <v>0.5443704</v>
      </c>
      <c r="G19" s="16">
        <f t="shared" si="0"/>
        <v>0.5443704</v>
      </c>
      <c r="H19" s="29">
        <f t="shared" si="1"/>
        <v>0.515343221869489</v>
      </c>
      <c r="I19" s="61">
        <f t="shared" si="2"/>
        <v>4.07579264370048e-5</v>
      </c>
      <c r="J19" s="29">
        <f t="shared" si="3"/>
        <v>0.815158528740096</v>
      </c>
      <c r="K19" s="62">
        <f t="shared" si="4"/>
        <v>8.15158528740096</v>
      </c>
      <c r="M19" s="60"/>
      <c r="P19" s="65" t="s">
        <v>30</v>
      </c>
      <c r="Y19" s="74"/>
    </row>
    <row r="20" s="1" customFormat="1" ht="14.45" customHeight="1" spans="2:25">
      <c r="B20" s="30"/>
      <c r="C20" s="19" t="s">
        <v>31</v>
      </c>
      <c r="D20" s="20">
        <v>0.504007950617284</v>
      </c>
      <c r="E20" s="21">
        <v>0.520271871604938</v>
      </c>
      <c r="F20" s="22">
        <v>0.496354340740741</v>
      </c>
      <c r="G20" s="16">
        <f t="shared" si="0"/>
        <v>0.506878054320988</v>
      </c>
      <c r="H20" s="29">
        <f t="shared" si="1"/>
        <v>0.477850876190476</v>
      </c>
      <c r="I20" s="61">
        <f t="shared" si="2"/>
        <v>3.77926982118377e-5</v>
      </c>
      <c r="J20" s="29">
        <f t="shared" si="3"/>
        <v>0.755853964236754</v>
      </c>
      <c r="K20" s="62">
        <f t="shared" si="4"/>
        <v>7.55853964236754</v>
      </c>
      <c r="M20" s="60"/>
      <c r="P20" s="65" t="s">
        <v>32</v>
      </c>
      <c r="Y20" s="74"/>
    </row>
    <row r="21" s="1" customFormat="1" ht="14.45" customHeight="1" spans="2:25">
      <c r="B21" s="30"/>
      <c r="C21" s="19" t="s">
        <v>33</v>
      </c>
      <c r="D21" s="20">
        <v>0.36911307654321</v>
      </c>
      <c r="E21" s="21">
        <v>0.374853283950617</v>
      </c>
      <c r="F21" s="22">
        <v>0.375809985185185</v>
      </c>
      <c r="G21" s="16">
        <f t="shared" si="0"/>
        <v>0.373258781893004</v>
      </c>
      <c r="H21" s="29">
        <f t="shared" si="1"/>
        <v>0.344231603762493</v>
      </c>
      <c r="I21" s="61">
        <f t="shared" si="2"/>
        <v>2.72248974820067e-5</v>
      </c>
      <c r="J21" s="29">
        <f t="shared" si="3"/>
        <v>0.544497949640134</v>
      </c>
      <c r="K21" s="62">
        <f t="shared" si="4"/>
        <v>5.44497949640134</v>
      </c>
      <c r="M21" s="60"/>
      <c r="P21" s="65" t="s">
        <v>34</v>
      </c>
      <c r="Y21" s="74"/>
    </row>
    <row r="22" s="1" customFormat="1" ht="14.45" customHeight="1" spans="2:25">
      <c r="B22" s="30"/>
      <c r="C22" s="19" t="s">
        <v>35</v>
      </c>
      <c r="D22" s="20">
        <v>0.377723387654321</v>
      </c>
      <c r="E22" s="21">
        <v>0.371</v>
      </c>
      <c r="F22" s="22">
        <v>0.374853283950617</v>
      </c>
      <c r="G22" s="16">
        <f t="shared" si="0"/>
        <v>0.374525557201646</v>
      </c>
      <c r="H22" s="29">
        <f t="shared" si="1"/>
        <v>0.345498379071135</v>
      </c>
      <c r="I22" s="61">
        <f t="shared" si="2"/>
        <v>2.73250853425446e-5</v>
      </c>
      <c r="J22" s="29">
        <f t="shared" si="3"/>
        <v>0.546501706850893</v>
      </c>
      <c r="K22" s="62">
        <f t="shared" si="4"/>
        <v>5.46501706850893</v>
      </c>
      <c r="M22" s="60"/>
      <c r="P22" s="65" t="s">
        <v>36</v>
      </c>
      <c r="Y22" s="74"/>
    </row>
    <row r="23" s="1" customFormat="1" ht="14.45" customHeight="1" spans="2:25">
      <c r="B23" s="31"/>
      <c r="C23" s="24" t="s">
        <v>37</v>
      </c>
      <c r="D23" s="25">
        <v>0.3675245</v>
      </c>
      <c r="E23" s="26">
        <v>0.372106</v>
      </c>
      <c r="F23" s="27">
        <v>0.3730223</v>
      </c>
      <c r="G23" s="16">
        <f t="shared" si="0"/>
        <v>0.370884266666667</v>
      </c>
      <c r="H23" s="29">
        <f t="shared" si="1"/>
        <v>0.341857088536155</v>
      </c>
      <c r="I23" s="61">
        <f t="shared" si="2"/>
        <v>2.70370996944128e-5</v>
      </c>
      <c r="J23" s="29">
        <f t="shared" si="3"/>
        <v>0.540741993888256</v>
      </c>
      <c r="K23" s="62">
        <f t="shared" si="4"/>
        <v>5.40741993888256</v>
      </c>
      <c r="M23" s="60"/>
      <c r="Y23" s="74"/>
    </row>
    <row r="24" s="1" customFormat="1" ht="15.15" spans="2:25">
      <c r="B24" s="28" t="s">
        <v>38</v>
      </c>
      <c r="C24" s="12" t="s">
        <v>25</v>
      </c>
      <c r="D24" s="13">
        <v>0.320024902998236</v>
      </c>
      <c r="E24" s="14">
        <v>0.320024902998236</v>
      </c>
      <c r="F24" s="15">
        <v>0.320024902998236</v>
      </c>
      <c r="G24" s="16">
        <f t="shared" si="0"/>
        <v>0.320024902998236</v>
      </c>
      <c r="H24" s="29">
        <f t="shared" si="1"/>
        <v>0.290997724867725</v>
      </c>
      <c r="I24" s="61">
        <f t="shared" si="2"/>
        <v>2.3014688774733e-5</v>
      </c>
      <c r="J24" s="29">
        <f t="shared" si="3"/>
        <v>0.460293775494661</v>
      </c>
      <c r="K24" s="62">
        <f t="shared" si="4"/>
        <v>4.60293775494661</v>
      </c>
      <c r="M24" s="60"/>
      <c r="N24" s="1" t="s">
        <v>39</v>
      </c>
      <c r="P24" s="65" t="s">
        <v>40</v>
      </c>
      <c r="Q24" s="1" t="s">
        <v>41</v>
      </c>
      <c r="Y24" s="74"/>
    </row>
    <row r="25" s="1" customFormat="1" ht="15.15" spans="2:25">
      <c r="B25" s="30"/>
      <c r="C25" s="19" t="s">
        <v>27</v>
      </c>
      <c r="D25" s="20">
        <v>0.499650440917108</v>
      </c>
      <c r="E25" s="21">
        <v>0.501602892416226</v>
      </c>
      <c r="F25" s="22">
        <v>0.500626666666667</v>
      </c>
      <c r="G25" s="16">
        <f t="shared" si="0"/>
        <v>0.500626666666667</v>
      </c>
      <c r="H25" s="29">
        <f t="shared" si="1"/>
        <v>0.471599488536156</v>
      </c>
      <c r="I25" s="61">
        <f t="shared" si="2"/>
        <v>3.72982828642958e-5</v>
      </c>
      <c r="J25" s="29">
        <f t="shared" si="3"/>
        <v>0.745965657285915</v>
      </c>
      <c r="K25" s="62">
        <f t="shared" si="4"/>
        <v>7.45965657285915</v>
      </c>
      <c r="M25" s="60"/>
      <c r="P25" s="65" t="s">
        <v>42</v>
      </c>
      <c r="Q25" s="1">
        <f>0.000023/0.00005</f>
        <v>0.46</v>
      </c>
      <c r="R25" s="1" t="s">
        <v>43</v>
      </c>
      <c r="Y25" s="74"/>
    </row>
    <row r="26" s="1" customFormat="1" ht="15.15" spans="2:25">
      <c r="B26" s="30"/>
      <c r="C26" s="19" t="s">
        <v>29</v>
      </c>
      <c r="D26" s="20">
        <v>0.55361</v>
      </c>
      <c r="E26" s="21">
        <v>0.55735</v>
      </c>
      <c r="F26" s="22">
        <v>0.55548</v>
      </c>
      <c r="G26" s="16">
        <f t="shared" si="0"/>
        <v>0.55548</v>
      </c>
      <c r="H26" s="29">
        <f t="shared" si="1"/>
        <v>0.526452821869488</v>
      </c>
      <c r="I26" s="61">
        <f t="shared" si="2"/>
        <v>4.16365724351067e-5</v>
      </c>
      <c r="J26" s="29">
        <f t="shared" si="3"/>
        <v>0.832731448702133</v>
      </c>
      <c r="K26" s="62">
        <f t="shared" si="4"/>
        <v>8.32731448702133</v>
      </c>
      <c r="M26" s="60"/>
      <c r="N26" s="1" t="s">
        <v>44</v>
      </c>
      <c r="P26" s="65" t="s">
        <v>40</v>
      </c>
      <c r="Q26" s="1" t="s">
        <v>45</v>
      </c>
      <c r="Y26" s="74"/>
    </row>
    <row r="27" s="1" customFormat="1" ht="15.15" spans="2:25">
      <c r="B27" s="30"/>
      <c r="C27" s="19" t="s">
        <v>31</v>
      </c>
      <c r="D27" s="20">
        <v>0.514293827160494</v>
      </c>
      <c r="E27" s="21">
        <v>0.530889664902998</v>
      </c>
      <c r="F27" s="22">
        <v>0.506484021164021</v>
      </c>
      <c r="G27" s="16">
        <f t="shared" si="0"/>
        <v>0.517222504409171</v>
      </c>
      <c r="H27" s="29">
        <f t="shared" si="1"/>
        <v>0.48819532627866</v>
      </c>
      <c r="I27" s="61">
        <f t="shared" si="2"/>
        <v>3.86108293482015e-5</v>
      </c>
      <c r="J27" s="29">
        <f t="shared" si="3"/>
        <v>0.77221658696403</v>
      </c>
      <c r="K27" s="62">
        <f t="shared" si="4"/>
        <v>7.7221658696403</v>
      </c>
      <c r="M27" s="60"/>
      <c r="P27" s="66" t="s">
        <v>46</v>
      </c>
      <c r="Q27" s="72">
        <f>Q25*10</f>
        <v>4.6</v>
      </c>
      <c r="R27" s="72" t="s">
        <v>43</v>
      </c>
      <c r="Y27" s="74"/>
    </row>
    <row r="28" s="1" customFormat="1" ht="15.15" spans="2:25">
      <c r="B28" s="30"/>
      <c r="C28" s="19" t="s">
        <v>33</v>
      </c>
      <c r="D28" s="20">
        <v>0.376645996472663</v>
      </c>
      <c r="E28" s="21">
        <v>0.382503350970018</v>
      </c>
      <c r="F28" s="22">
        <v>0.383479576719577</v>
      </c>
      <c r="G28" s="16">
        <f t="shared" si="0"/>
        <v>0.380876308054086</v>
      </c>
      <c r="H28" s="29">
        <f t="shared" si="1"/>
        <v>0.351849129923575</v>
      </c>
      <c r="I28" s="61">
        <f t="shared" si="2"/>
        <v>2.78273592157209e-5</v>
      </c>
      <c r="J28" s="29">
        <f t="shared" si="3"/>
        <v>0.556547184314417</v>
      </c>
      <c r="K28" s="62">
        <f t="shared" si="4"/>
        <v>5.56547184314417</v>
      </c>
      <c r="M28" s="67"/>
      <c r="N28" s="68"/>
      <c r="O28" s="68"/>
      <c r="P28" s="69"/>
      <c r="Q28" s="68"/>
      <c r="R28" s="68"/>
      <c r="S28" s="68"/>
      <c r="T28" s="68"/>
      <c r="U28" s="68"/>
      <c r="V28" s="68"/>
      <c r="W28" s="68"/>
      <c r="X28" s="68"/>
      <c r="Y28" s="75"/>
    </row>
    <row r="29" s="1" customFormat="1" ht="15.15" spans="2:14">
      <c r="B29" s="30"/>
      <c r="C29" s="19" t="s">
        <v>35</v>
      </c>
      <c r="D29" s="20">
        <v>0.385432028218695</v>
      </c>
      <c r="E29" s="21">
        <v>0.385432028218695</v>
      </c>
      <c r="F29" s="22">
        <v>0.382503350970018</v>
      </c>
      <c r="G29" s="16">
        <f t="shared" si="0"/>
        <v>0.384455802469136</v>
      </c>
      <c r="H29" s="29">
        <f t="shared" si="1"/>
        <v>0.355428624338625</v>
      </c>
      <c r="I29" s="61">
        <f t="shared" si="2"/>
        <v>2.81104574769554e-5</v>
      </c>
      <c r="J29" s="29">
        <f t="shared" si="3"/>
        <v>0.562209149539109</v>
      </c>
      <c r="K29" s="62">
        <f t="shared" si="4"/>
        <v>5.62209149539109</v>
      </c>
      <c r="N29" s="65"/>
    </row>
    <row r="30" s="1" customFormat="1" ht="15.15" spans="2:14">
      <c r="B30" s="31"/>
      <c r="C30" s="24" t="s">
        <v>37</v>
      </c>
      <c r="D30" s="25">
        <v>0.375025</v>
      </c>
      <c r="E30" s="26">
        <v>0.3797</v>
      </c>
      <c r="F30" s="27">
        <v>0.380635</v>
      </c>
      <c r="G30" s="16">
        <f t="shared" si="0"/>
        <v>0.378453333333333</v>
      </c>
      <c r="H30" s="29">
        <f t="shared" si="1"/>
        <v>0.349426155202822</v>
      </c>
      <c r="I30" s="61">
        <f t="shared" si="2"/>
        <v>2.76357288202169e-5</v>
      </c>
      <c r="J30" s="29">
        <f t="shared" si="3"/>
        <v>0.552714576404337</v>
      </c>
      <c r="K30" s="62">
        <f t="shared" si="4"/>
        <v>5.52714576404337</v>
      </c>
      <c r="N30" s="65"/>
    </row>
    <row r="33" s="1" customFormat="1" spans="4:4">
      <c r="D33" s="8" t="s">
        <v>47</v>
      </c>
    </row>
    <row r="34" s="1" customFormat="1" spans="4:4">
      <c r="D34" s="3" t="s">
        <v>48</v>
      </c>
    </row>
    <row r="35" s="1" customFormat="1" spans="4:4">
      <c r="D35" s="3" t="s">
        <v>49</v>
      </c>
    </row>
    <row r="36" s="1" customFormat="1" ht="15.15"/>
    <row r="37" s="1" customFormat="1" ht="15.15" spans="5:14">
      <c r="E37" s="32" t="s">
        <v>16</v>
      </c>
      <c r="F37" s="33"/>
      <c r="J37" s="70"/>
      <c r="K37" s="70"/>
      <c r="L37" s="70"/>
      <c r="M37" s="70"/>
      <c r="N37" s="70"/>
    </row>
    <row r="38" s="1" customFormat="1" ht="15.15" spans="4:14">
      <c r="D38" s="34" t="s">
        <v>50</v>
      </c>
      <c r="E38" s="34" t="s">
        <v>51</v>
      </c>
      <c r="F38" s="35" t="s">
        <v>52</v>
      </c>
      <c r="G38" s="3"/>
      <c r="J38" s="70"/>
      <c r="K38" s="70"/>
      <c r="L38" s="70"/>
      <c r="M38" s="70"/>
      <c r="N38" s="70"/>
    </row>
    <row r="39" s="1" customFormat="1" spans="4:19">
      <c r="D39" s="36">
        <v>0</v>
      </c>
      <c r="E39" s="37">
        <v>4.54585719437419</v>
      </c>
      <c r="F39" s="38">
        <v>4.60293775494662</v>
      </c>
      <c r="R39" s="71"/>
      <c r="S39" s="71"/>
    </row>
    <row r="40" s="1" customFormat="1" spans="4:17">
      <c r="D40" s="39">
        <v>30</v>
      </c>
      <c r="E40" s="40">
        <v>7.25375267465535</v>
      </c>
      <c r="F40" s="41">
        <v>7.45965657285914</v>
      </c>
      <c r="K40" s="70"/>
      <c r="L40" s="70"/>
      <c r="M40" s="70"/>
      <c r="N40" s="70"/>
      <c r="O40" s="70"/>
      <c r="P40" s="70"/>
      <c r="Q40" s="70"/>
    </row>
    <row r="41" s="1" customFormat="1" spans="4:17">
      <c r="D41" s="39">
        <v>60</v>
      </c>
      <c r="E41" s="40">
        <v>8.15158528740096</v>
      </c>
      <c r="F41" s="41">
        <v>8.32731448702132</v>
      </c>
      <c r="J41" s="71"/>
      <c r="K41" s="71"/>
      <c r="L41" s="71"/>
      <c r="M41" s="71"/>
      <c r="N41" s="71"/>
      <c r="O41" s="71"/>
      <c r="P41" s="71"/>
      <c r="Q41" s="71"/>
    </row>
    <row r="42" s="1" customFormat="1" spans="4:6">
      <c r="D42" s="39">
        <v>90</v>
      </c>
      <c r="E42" s="40">
        <v>7.55853964236754</v>
      </c>
      <c r="F42" s="41">
        <v>7.7221658696403</v>
      </c>
    </row>
    <row r="43" s="1" customFormat="1" spans="4:6">
      <c r="D43" s="39">
        <v>120</v>
      </c>
      <c r="E43" s="40">
        <v>5.44497949640134</v>
      </c>
      <c r="F43" s="41">
        <v>5.56547184314416</v>
      </c>
    </row>
    <row r="44" s="1" customFormat="1" spans="4:6">
      <c r="D44" s="39">
        <v>150</v>
      </c>
      <c r="E44" s="40">
        <v>5.46501706850894</v>
      </c>
      <c r="F44" s="41">
        <v>5.62209149539108</v>
      </c>
    </row>
    <row r="45" s="1" customFormat="1" ht="15.15" spans="4:14">
      <c r="D45" s="42">
        <v>180</v>
      </c>
      <c r="E45" s="43">
        <v>5.40741993888255</v>
      </c>
      <c r="F45" s="44">
        <v>5.52714576404337</v>
      </c>
      <c r="J45" s="70"/>
      <c r="K45" s="70"/>
      <c r="L45" s="70"/>
      <c r="M45" s="70"/>
      <c r="N45" s="70"/>
    </row>
    <row r="46" s="1" customFormat="1" spans="10:14">
      <c r="J46" s="70"/>
      <c r="K46" s="70"/>
      <c r="L46" s="70"/>
      <c r="M46" s="70"/>
      <c r="N46" s="70"/>
    </row>
    <row r="47" s="1" customFormat="1" spans="18:19">
      <c r="R47" s="71"/>
      <c r="S47" s="71"/>
    </row>
    <row r="48" s="1" customFormat="1" spans="11:17">
      <c r="K48" s="70"/>
      <c r="L48" s="70"/>
      <c r="M48" s="70"/>
      <c r="N48" s="70"/>
      <c r="O48" s="70"/>
      <c r="P48" s="70"/>
      <c r="Q48" s="70"/>
    </row>
    <row r="49" s="1" customFormat="1" spans="10:17">
      <c r="J49" s="71"/>
      <c r="K49" s="71"/>
      <c r="L49" s="71"/>
      <c r="M49" s="71"/>
      <c r="N49" s="71"/>
      <c r="O49" s="71"/>
      <c r="P49" s="71"/>
      <c r="Q49" s="71"/>
    </row>
    <row r="50" s="1" customFormat="1" spans="10:10">
      <c r="J50" s="71"/>
    </row>
    <row r="51" s="1" customFormat="1" ht="15" customHeight="1" spans="7:10">
      <c r="G51" s="45"/>
      <c r="J51" s="71"/>
    </row>
    <row r="52" s="1" customFormat="1" ht="16.5" customHeight="1" spans="3:17">
      <c r="C52" s="46"/>
      <c r="G52" s="47"/>
      <c r="Q52" s="71"/>
    </row>
    <row r="53" s="1" customFormat="1" ht="14.45" customHeight="1" spans="3:10">
      <c r="C53" s="46"/>
      <c r="D53" s="48"/>
      <c r="E53" s="48"/>
      <c r="F53" s="48"/>
      <c r="G53" s="49"/>
      <c r="H53" s="48"/>
      <c r="I53" s="48"/>
      <c r="J53" s="48"/>
    </row>
    <row r="54" s="1" customFormat="1" ht="14.45" customHeight="1" spans="3:17">
      <c r="C54" s="46"/>
      <c r="D54" s="48"/>
      <c r="E54" s="48"/>
      <c r="F54" s="48"/>
      <c r="G54" s="49"/>
      <c r="H54" s="48"/>
      <c r="I54" s="48"/>
      <c r="J54" s="48"/>
      <c r="Q54" s="71"/>
    </row>
    <row r="55" s="1" customFormat="1" ht="14.45" customHeight="1" spans="3:10">
      <c r="C55" s="46"/>
      <c r="D55" s="48"/>
      <c r="E55" s="48"/>
      <c r="F55" s="48"/>
      <c r="G55" s="49"/>
      <c r="H55" s="48"/>
      <c r="I55" s="48"/>
      <c r="J55" s="48"/>
    </row>
    <row r="56" s="1" customFormat="1" ht="14.45" customHeight="1" spans="3:10">
      <c r="C56" s="46"/>
      <c r="D56" s="48"/>
      <c r="E56" s="48"/>
      <c r="F56" s="48"/>
      <c r="G56" s="49"/>
      <c r="H56" s="48"/>
      <c r="I56" s="48"/>
      <c r="J56" s="48"/>
    </row>
    <row r="57" s="1" customFormat="1" ht="14.45" customHeight="1" spans="3:17">
      <c r="C57" s="46"/>
      <c r="D57" s="48"/>
      <c r="E57" s="48"/>
      <c r="F57" s="48"/>
      <c r="G57" s="49"/>
      <c r="H57" s="48"/>
      <c r="I57" s="48"/>
      <c r="J57" s="48"/>
      <c r="Q57" s="70"/>
    </row>
    <row r="58" s="1" customFormat="1" ht="14.45" customHeight="1" spans="3:17">
      <c r="C58" s="46"/>
      <c r="D58" s="48"/>
      <c r="E58" s="48"/>
      <c r="F58" s="48"/>
      <c r="G58" s="49"/>
      <c r="H58" s="48"/>
      <c r="I58" s="48"/>
      <c r="J58" s="48"/>
      <c r="Q58" s="70"/>
    </row>
    <row r="59" s="1" customFormat="1" spans="4:17">
      <c r="D59" s="48"/>
      <c r="E59" s="48"/>
      <c r="F59" s="48"/>
      <c r="G59" s="49"/>
      <c r="H59" s="48"/>
      <c r="I59" s="48"/>
      <c r="J59" s="48"/>
      <c r="Q59" s="70"/>
    </row>
    <row r="60" s="1" customFormat="1" spans="4:17">
      <c r="D60" s="48"/>
      <c r="E60" s="48"/>
      <c r="F60" s="48"/>
      <c r="H60" s="48"/>
      <c r="I60" s="48"/>
      <c r="J60" s="48"/>
      <c r="Q60" s="70"/>
    </row>
    <row r="61" s="1" customFormat="1" spans="4:17">
      <c r="D61" s="48"/>
      <c r="E61" s="48"/>
      <c r="F61" s="48"/>
      <c r="H61" s="48"/>
      <c r="I61" s="48"/>
      <c r="J61" s="48"/>
      <c r="K61" s="70"/>
      <c r="L61" s="70"/>
      <c r="M61" s="70"/>
      <c r="N61" s="70"/>
      <c r="O61" s="70"/>
      <c r="P61" s="70"/>
      <c r="Q61" s="70"/>
    </row>
    <row r="62" s="1" customFormat="1" spans="4:10">
      <c r="D62" s="48"/>
      <c r="E62" s="48"/>
      <c r="F62" s="48"/>
      <c r="H62" s="48"/>
      <c r="I62" s="48"/>
      <c r="J62" s="48"/>
    </row>
    <row r="63" s="1" customFormat="1" spans="4:17">
      <c r="D63" s="48"/>
      <c r="E63" s="48"/>
      <c r="F63" s="48"/>
      <c r="H63" s="48"/>
      <c r="I63" s="48"/>
      <c r="J63" s="48"/>
      <c r="K63" s="71"/>
      <c r="L63" s="71"/>
      <c r="M63" s="71"/>
      <c r="N63" s="71"/>
      <c r="O63" s="71"/>
      <c r="P63" s="71"/>
      <c r="Q63" s="71"/>
    </row>
    <row r="64" s="1" customFormat="1" spans="4:10">
      <c r="D64" s="48"/>
      <c r="E64" s="48"/>
      <c r="F64" s="48"/>
      <c r="H64" s="48"/>
      <c r="I64" s="48"/>
      <c r="J64" s="48"/>
    </row>
    <row r="65" s="1" customFormat="1" spans="4:10">
      <c r="D65" s="48"/>
      <c r="E65" s="48"/>
      <c r="F65" s="48"/>
      <c r="H65" s="48"/>
      <c r="I65" s="48"/>
      <c r="J65" s="48"/>
    </row>
    <row r="66" s="1" customFormat="1" spans="4:14">
      <c r="D66" s="48"/>
      <c r="E66" s="48"/>
      <c r="F66" s="48"/>
      <c r="H66" s="48"/>
      <c r="I66" s="48"/>
      <c r="J66" s="48"/>
      <c r="N66" s="70"/>
    </row>
    <row r="67" s="1" customFormat="1" spans="4:14">
      <c r="D67" s="48"/>
      <c r="E67" s="48"/>
      <c r="F67" s="48"/>
      <c r="H67" s="48"/>
      <c r="I67" s="48"/>
      <c r="J67" s="48"/>
      <c r="N67" s="77"/>
    </row>
    <row r="68" s="1" customFormat="1" spans="4:14">
      <c r="D68" s="48"/>
      <c r="E68" s="48"/>
      <c r="F68" s="48"/>
      <c r="H68" s="48"/>
      <c r="I68" s="48"/>
      <c r="J68" s="48"/>
      <c r="N68" s="77"/>
    </row>
    <row r="69" s="1" customFormat="1" spans="4:14">
      <c r="D69" s="48"/>
      <c r="E69" s="48"/>
      <c r="F69" s="48"/>
      <c r="H69" s="48"/>
      <c r="I69" s="48"/>
      <c r="J69" s="48"/>
      <c r="N69" s="77"/>
    </row>
    <row r="70" s="1" customFormat="1" spans="4:14">
      <c r="D70" s="48"/>
      <c r="E70" s="48"/>
      <c r="F70" s="48"/>
      <c r="H70" s="48"/>
      <c r="I70" s="48"/>
      <c r="J70" s="48"/>
      <c r="N70" s="77"/>
    </row>
    <row r="71" s="1" customFormat="1" spans="4:14">
      <c r="D71" s="48"/>
      <c r="E71" s="48"/>
      <c r="F71" s="48"/>
      <c r="H71" s="48"/>
      <c r="I71" s="48"/>
      <c r="J71" s="48"/>
      <c r="N71" s="77"/>
    </row>
    <row r="72" s="1" customFormat="1" spans="4:14">
      <c r="D72" s="48"/>
      <c r="E72" s="48"/>
      <c r="F72" s="48"/>
      <c r="H72" s="48"/>
      <c r="I72" s="48"/>
      <c r="J72" s="48"/>
      <c r="N72" s="77"/>
    </row>
    <row r="73" s="1" customFormat="1" spans="14:14">
      <c r="N73" s="77"/>
    </row>
    <row r="100" s="1" customFormat="1" spans="7:8">
      <c r="G100" s="76"/>
      <c r="H100" s="76"/>
    </row>
    <row r="101" s="1" customFormat="1" spans="7:8">
      <c r="G101" s="76"/>
      <c r="H101" s="76"/>
    </row>
    <row r="102" s="1" customFormat="1" spans="7:8">
      <c r="G102" s="76"/>
      <c r="H102" s="76"/>
    </row>
    <row r="103" s="1" customFormat="1" spans="7:8">
      <c r="G103" s="76"/>
      <c r="H103" s="76"/>
    </row>
    <row r="104" s="1" customFormat="1" spans="7:8">
      <c r="G104" s="76"/>
      <c r="H104" s="76"/>
    </row>
    <row r="105" s="1" customFormat="1" spans="7:8">
      <c r="G105" s="76"/>
      <c r="H105" s="76"/>
    </row>
  </sheetData>
  <mergeCells count="8">
    <mergeCell ref="E37:F37"/>
    <mergeCell ref="J37:N37"/>
    <mergeCell ref="K40:Q40"/>
    <mergeCell ref="J45:N45"/>
    <mergeCell ref="K48:Q48"/>
    <mergeCell ref="B11:B16"/>
    <mergeCell ref="B17:B23"/>
    <mergeCell ref="B24:B3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Chuanhui Zheng</dc:creator>
  <cp:lastModifiedBy>Chuanhui Zheng</cp:lastModifiedBy>
  <dcterms:created xsi:type="dcterms:W3CDTF">2024-10-21T07:03:00Z</dcterms:created>
  <dcterms:modified xsi:type="dcterms:W3CDTF">2024-10-21T09:12:20Z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A1C8330C13D946FEB0DFDAEDAE372D9F_12</vt:lpwstr>
  </property>
  <property fmtid="{D5CDD505-2E9C-101B-9397-08002B2CF9AE}" pid="3" name="KSOProductBuildVer">
    <vt:lpwstr>1033-12.2.0.18607</vt:lpwstr>
  </property>
</Properties>
</file>