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unsw-my.sharepoint.com/personal/z3221433_ad_unsw_edu_au/Documents/Documents/BFM T2 2024/"/>
    </mc:Choice>
  </mc:AlternateContent>
  <xr:revisionPtr revIDLastSave="437" documentId="13_ncr:1_{D9282555-FAAC-4AE5-ABF2-C25172013031}" xr6:coauthVersionLast="47" xr6:coauthVersionMax="47" xr10:uidLastSave="{63FE4ADF-5B06-44CB-AC79-FAED16E5009E}"/>
  <bookViews>
    <workbookView xWindow="-110" yWindow="-110" windowWidth="19420" windowHeight="11500" xr2:uid="{EA5F4F03-C22A-43BD-8761-EB451DFEB73A}"/>
  </bookViews>
  <sheets>
    <sheet name="1 Dietary Record" sheetId="1" r:id="rId1"/>
    <sheet name="2 Physical Activity Recor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1" i="2" l="1"/>
  <c r="F82" i="2"/>
  <c r="F83" i="2"/>
  <c r="F84" i="2"/>
  <c r="F85" i="2"/>
  <c r="F86" i="2"/>
  <c r="F87" i="2"/>
  <c r="F88" i="2"/>
  <c r="F89" i="2"/>
  <c r="F90" i="2"/>
  <c r="F91" i="2"/>
  <c r="F92" i="2"/>
  <c r="F93" i="2"/>
  <c r="F94" i="2"/>
  <c r="F95" i="2"/>
  <c r="F96" i="2"/>
  <c r="F97" i="2"/>
  <c r="F98" i="2"/>
  <c r="F99" i="2"/>
  <c r="F100" i="2"/>
  <c r="F101"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80" i="2"/>
  <c r="F49" i="2"/>
  <c r="F17" i="2"/>
  <c r="F18" i="2"/>
  <c r="F19" i="2"/>
  <c r="F20" i="2"/>
  <c r="F21" i="2"/>
  <c r="F22" i="2"/>
  <c r="F23" i="2"/>
  <c r="F24" i="2"/>
  <c r="F25" i="2"/>
  <c r="F26" i="2"/>
  <c r="F28" i="2"/>
  <c r="F29" i="2"/>
  <c r="F30" i="2"/>
  <c r="F31" i="2"/>
  <c r="F32" i="2"/>
  <c r="F33" i="2"/>
  <c r="F34" i="2"/>
  <c r="F35" i="2"/>
  <c r="F36" i="2"/>
  <c r="F37" i="2"/>
  <c r="F38" i="2"/>
  <c r="F39" i="2"/>
  <c r="F40" i="2"/>
  <c r="F41" i="2"/>
  <c r="F42" i="2"/>
  <c r="F43" i="2"/>
  <c r="F44" i="2"/>
  <c r="F45" i="2"/>
  <c r="F46" i="2"/>
  <c r="F47" i="2"/>
  <c r="E27" i="1"/>
  <c r="F27" i="1"/>
  <c r="G27" i="1"/>
  <c r="D27" i="1"/>
  <c r="E26" i="1"/>
  <c r="F26" i="1"/>
  <c r="G26" i="1"/>
  <c r="D26" i="1"/>
  <c r="G25" i="1"/>
  <c r="E25" i="1"/>
  <c r="F25" i="1"/>
  <c r="D25" i="1"/>
  <c r="E27" i="2"/>
  <c r="F27" i="2" s="1"/>
  <c r="F16" i="2"/>
  <c r="B10" i="2"/>
  <c r="B10" i="1" l="1"/>
</calcChain>
</file>

<file path=xl/sharedStrings.xml><?xml version="1.0" encoding="utf-8"?>
<sst xmlns="http://schemas.openxmlformats.org/spreadsheetml/2006/main" count="344" uniqueCount="233">
  <si>
    <t>Dietary Record</t>
  </si>
  <si>
    <r>
      <rPr>
        <b/>
        <sz val="11"/>
        <color rgb="FF0070C0"/>
        <rFont val="Calibri"/>
        <family val="2"/>
        <scheme val="minor"/>
      </rPr>
      <t xml:space="preserve">Tip: </t>
    </r>
    <r>
      <rPr>
        <sz val="11"/>
        <color rgb="FF0070C0"/>
        <rFont val="Calibri"/>
        <family val="2"/>
        <scheme val="minor"/>
      </rPr>
      <t xml:space="preserve">You must calculate the values for all shaded yellow cells. No calculations are needed for shaded black cells. </t>
    </r>
  </si>
  <si>
    <r>
      <rPr>
        <b/>
        <sz val="11"/>
        <color theme="8" tint="-0.249977111117893"/>
        <rFont val="Calibri"/>
        <family val="2"/>
        <scheme val="minor"/>
      </rPr>
      <t xml:space="preserve">Tip: </t>
    </r>
    <r>
      <rPr>
        <sz val="11"/>
        <color theme="8" tint="-0.249977111117893"/>
        <rFont val="Calibri"/>
        <family val="2"/>
        <scheme val="minor"/>
      </rPr>
      <t>Use Excel for calculations rather than a calculator and always use unrounded values when you have multiple calculations steps</t>
    </r>
  </si>
  <si>
    <t>Personal Statistics</t>
  </si>
  <si>
    <t>Gender</t>
  </si>
  <si>
    <t>Female</t>
  </si>
  <si>
    <t>Weight (kg)</t>
  </si>
  <si>
    <t>Age</t>
  </si>
  <si>
    <t>Height (m)</t>
  </si>
  <si>
    <t>Days</t>
  </si>
  <si>
    <t>BMR (kcal/hour)</t>
  </si>
  <si>
    <r>
      <rPr>
        <b/>
        <sz val="11"/>
        <color theme="4"/>
        <rFont val="Calibri"/>
        <family val="2"/>
        <scheme val="minor"/>
      </rPr>
      <t xml:space="preserve">Tip: </t>
    </r>
    <r>
      <rPr>
        <sz val="11"/>
        <color theme="4"/>
        <rFont val="Calibri"/>
        <family val="2"/>
        <scheme val="minor"/>
      </rPr>
      <t>The BMR value shown here is calculated by  multiplying the individual's weight by one hour</t>
    </r>
  </si>
  <si>
    <t>BMR (kcal/day)</t>
  </si>
  <si>
    <t>Date and Time</t>
  </si>
  <si>
    <t xml:space="preserve">Description of Food Item </t>
  </si>
  <si>
    <t>Portion Size</t>
  </si>
  <si>
    <t>Energy consumed (kcal)</t>
  </si>
  <si>
    <t>Carbohydrates (g)</t>
  </si>
  <si>
    <t>Protein (g)</t>
  </si>
  <si>
    <t>Fats (g)</t>
  </si>
  <si>
    <t>Day 1</t>
  </si>
  <si>
    <t>Day 2</t>
  </si>
  <si>
    <t>Day 3</t>
  </si>
  <si>
    <t>Daily Summaries</t>
  </si>
  <si>
    <t>Day</t>
  </si>
  <si>
    <t>Carbohydrate (g)</t>
  </si>
  <si>
    <t>Fat (g)</t>
  </si>
  <si>
    <t>Alcohol (g)</t>
  </si>
  <si>
    <t>Total (over all days)</t>
  </si>
  <si>
    <t>Average (per day) in grams</t>
  </si>
  <si>
    <t>Average (per day) in kcal</t>
  </si>
  <si>
    <t>Average Daily Energy Intake</t>
  </si>
  <si>
    <t>Average Daily Energy intake (kcal/day)</t>
  </si>
  <si>
    <t>Average Daily Energy intake (kJ/day)</t>
  </si>
  <si>
    <r>
      <rPr>
        <b/>
        <sz val="11"/>
        <color theme="8" tint="-0.249977111117893"/>
        <rFont val="Calibri"/>
        <family val="2"/>
        <scheme val="minor"/>
      </rPr>
      <t>Tip:</t>
    </r>
    <r>
      <rPr>
        <sz val="11"/>
        <color theme="8" tint="-0.249977111117893"/>
        <rFont val="Calibri"/>
        <family val="2"/>
        <scheme val="minor"/>
      </rPr>
      <t xml:space="preserve"> 1 kcal = 4.184 kJ and you must use this conversion in your calculations</t>
    </r>
  </si>
  <si>
    <t>Approximate Macronutrient % based on the diet</t>
  </si>
  <si>
    <t>Average % Calories from carbohydrate</t>
  </si>
  <si>
    <t>Average % Calories from protein</t>
  </si>
  <si>
    <t>Average % Calories from fat</t>
  </si>
  <si>
    <t>Average % Calories from alcohol</t>
  </si>
  <si>
    <t>Activity Record</t>
  </si>
  <si>
    <r>
      <rPr>
        <b/>
        <sz val="11"/>
        <color theme="4"/>
        <rFont val="Calibri"/>
        <family val="2"/>
        <scheme val="minor"/>
      </rPr>
      <t xml:space="preserve">Tip: </t>
    </r>
    <r>
      <rPr>
        <sz val="11"/>
        <color theme="4"/>
        <rFont val="Calibri"/>
        <family val="2"/>
        <scheme val="minor"/>
      </rPr>
      <t>The BMR value shown here is calculated by  multiplying the individual's weight by  one hour</t>
    </r>
  </si>
  <si>
    <t>Activity Description</t>
  </si>
  <si>
    <t>MET Ativity Code</t>
  </si>
  <si>
    <t>MET</t>
  </si>
  <si>
    <t>Time spent (min)</t>
  </si>
  <si>
    <t>Time (h)</t>
  </si>
  <si>
    <t>Energy Expended (kcal)</t>
  </si>
  <si>
    <t>Average Daily Energy Expenditure</t>
  </si>
  <si>
    <t>Average Daily Energy Expenditure (kcal/day)</t>
  </si>
  <si>
    <t>Average Daily Energy Expenditure (kJ/day)</t>
  </si>
  <si>
    <r>
      <rPr>
        <b/>
        <sz val="11"/>
        <color rgb="FF0070C0"/>
        <rFont val="Calibri"/>
        <family val="2"/>
        <scheme val="minor"/>
      </rPr>
      <t>Tip:</t>
    </r>
    <r>
      <rPr>
        <sz val="11"/>
        <color rgb="FF0070C0"/>
        <rFont val="Calibri"/>
        <family val="2"/>
        <scheme val="minor"/>
      </rPr>
      <t xml:space="preserve"> The % may not add up to 100% but this is fine. </t>
    </r>
  </si>
  <si>
    <r>
      <rPr>
        <b/>
        <sz val="11"/>
        <color rgb="FF0070C0"/>
        <rFont val="Calibri"/>
        <family val="2"/>
        <scheme val="minor"/>
      </rPr>
      <t xml:space="preserve">Tip: </t>
    </r>
    <r>
      <rPr>
        <sz val="11"/>
        <color rgb="FF0070C0"/>
        <rFont val="Calibri"/>
        <family val="2"/>
        <scheme val="minor"/>
      </rPr>
      <t xml:space="preserve">Carbohydrates provide 4 kcal per gram, protein provides 4 kcal per gram, and fat provides 9 kcal per gram and alcohol provides 7 kcal per gram. Use this to calculate the average carbohydrates, proteins, and fats per day in kcal. </t>
    </r>
  </si>
  <si>
    <r>
      <rPr>
        <b/>
        <sz val="11"/>
        <color theme="8" tint="-0.249977111117893"/>
        <rFont val="Calibri"/>
        <family val="2"/>
        <scheme val="minor"/>
      </rPr>
      <t>Tip:</t>
    </r>
    <r>
      <rPr>
        <b/>
        <sz val="11"/>
        <color theme="1"/>
        <rFont val="Calibri"/>
        <family val="2"/>
        <scheme val="minor"/>
      </rPr>
      <t xml:space="preserve"> </t>
    </r>
    <r>
      <rPr>
        <sz val="11"/>
        <color theme="8" tint="-0.249977111117893"/>
        <rFont val="Calibri"/>
        <family val="2"/>
        <scheme val="minor"/>
      </rPr>
      <t>How to calculate the Energy Expended in kcal</t>
    </r>
  </si>
  <si>
    <t>Energy expended = BMR x MET x Time</t>
  </si>
  <si>
    <t>Your values in the equation above should be in these units</t>
  </si>
  <si>
    <r>
      <t>Energy expended</t>
    </r>
    <r>
      <rPr>
        <b/>
        <sz val="11"/>
        <color rgb="FFC00000"/>
        <rFont val="Calibri"/>
        <family val="2"/>
        <scheme val="minor"/>
      </rPr>
      <t xml:space="preserve"> (kcal)</t>
    </r>
  </si>
  <si>
    <r>
      <t xml:space="preserve">BMR </t>
    </r>
    <r>
      <rPr>
        <b/>
        <sz val="11"/>
        <color rgb="FFC00000"/>
        <rFont val="Calibri"/>
        <family val="2"/>
        <scheme val="minor"/>
      </rPr>
      <t>(kcal/hour)</t>
    </r>
  </si>
  <si>
    <r>
      <t xml:space="preserve">Time </t>
    </r>
    <r>
      <rPr>
        <b/>
        <sz val="11"/>
        <color rgb="FFC00000"/>
        <rFont val="Calibri"/>
        <family val="2"/>
        <scheme val="minor"/>
      </rPr>
      <t>(hours)</t>
    </r>
  </si>
  <si>
    <r>
      <rPr>
        <b/>
        <sz val="11"/>
        <color rgb="FF0070C0"/>
        <rFont val="Calibri"/>
        <family val="2"/>
        <scheme val="minor"/>
      </rPr>
      <t>Tip:</t>
    </r>
    <r>
      <rPr>
        <sz val="11"/>
        <color rgb="FF0070C0"/>
        <rFont val="Calibri"/>
        <family val="2"/>
        <scheme val="minor"/>
      </rPr>
      <t xml:space="preserve"> Do not calculate the average daily intake using the values you calcualted in the summary table as they are not as accuarte. Use the energy consumed  values from the dietary record table above. </t>
    </r>
  </si>
  <si>
    <t xml:space="preserve">You do not need to submit this Excel sheet for marking. </t>
  </si>
  <si>
    <t xml:space="preserve">If Alicia did not intake any alcohol, you can leave the alcohol column empty. </t>
  </si>
  <si>
    <t>9:00 AM - Breakfast</t>
  </si>
  <si>
    <t>9.45 AM Snack</t>
  </si>
  <si>
    <t>World Kitchen Garlic Bread Slices</t>
  </si>
  <si>
    <t xml:space="preserve"> 5 Slices</t>
  </si>
  <si>
    <t>Kit Kat</t>
  </si>
  <si>
    <t>2 Slices</t>
  </si>
  <si>
    <t>Coles Full Cream Milk</t>
  </si>
  <si>
    <t>100 ml</t>
  </si>
  <si>
    <t>Parle-G Original Gluco Biscuits</t>
  </si>
  <si>
    <t>20 biscuits</t>
  </si>
  <si>
    <t>12.00 AM</t>
  </si>
  <si>
    <t>Sleeping</t>
  </si>
  <si>
    <t>6.35 AM</t>
  </si>
  <si>
    <t>Using the toilet</t>
  </si>
  <si>
    <t>6.40 AM</t>
  </si>
  <si>
    <t>Lying in bed reading on the computer</t>
  </si>
  <si>
    <t>8.30 AM</t>
  </si>
  <si>
    <t>Brushing teeth and washing face</t>
  </si>
  <si>
    <t>8.45 AM</t>
  </si>
  <si>
    <t>Getting dressed</t>
  </si>
  <si>
    <t>8.50 AM</t>
  </si>
  <si>
    <t>Cooking breakfast in the airfryer</t>
  </si>
  <si>
    <t>9.00 AM</t>
  </si>
  <si>
    <t>Standing and eating in the kitchen</t>
  </si>
  <si>
    <t>9.15 AM</t>
  </si>
  <si>
    <t>Sitting at the desk working</t>
  </si>
  <si>
    <t>9.45 AM</t>
  </si>
  <si>
    <t>Going to the kitchen to prepare and eat a snack</t>
  </si>
  <si>
    <t>9.55 AM</t>
  </si>
  <si>
    <t>10.10 AM</t>
  </si>
  <si>
    <t>10.15 AM</t>
  </si>
  <si>
    <t>12.00 PM</t>
  </si>
  <si>
    <t>Walking around the house</t>
  </si>
  <si>
    <t>12.05 PM</t>
  </si>
  <si>
    <t>2.05 PM</t>
  </si>
  <si>
    <t xml:space="preserve">Standing outside in the garden </t>
  </si>
  <si>
    <t>2.40 PM</t>
  </si>
  <si>
    <t xml:space="preserve">3.30 PM </t>
  </si>
  <si>
    <t>Prepearing food in the kitchen</t>
  </si>
  <si>
    <t>3.40 PM</t>
  </si>
  <si>
    <t>3.50 PM</t>
  </si>
  <si>
    <t>Walking the dog</t>
  </si>
  <si>
    <t>Walking the dog back home</t>
  </si>
  <si>
    <t>4.45 PM</t>
  </si>
  <si>
    <t>Cooking</t>
  </si>
  <si>
    <t>5.20 PM</t>
  </si>
  <si>
    <t>4.00 PM</t>
  </si>
  <si>
    <t>4.25 PM</t>
  </si>
  <si>
    <t>5.35 PM</t>
  </si>
  <si>
    <t>6.00 PM</t>
  </si>
  <si>
    <t>Showering</t>
  </si>
  <si>
    <t>6.10 PM</t>
  </si>
  <si>
    <t>Eating Dinner</t>
  </si>
  <si>
    <t>6.25 PM</t>
  </si>
  <si>
    <t>6.45 PM</t>
  </si>
  <si>
    <t>Lying in bed on the computer</t>
  </si>
  <si>
    <t>6.10 PM Dinner</t>
  </si>
  <si>
    <t>500 g</t>
  </si>
  <si>
    <t>3 g</t>
  </si>
  <si>
    <t>30 g</t>
  </si>
  <si>
    <t>Coles salted butter</t>
  </si>
  <si>
    <t>Piece of white bread roll (values stimated based on Woolworths Extra Soft Hotdog Bread Rolls)</t>
  </si>
  <si>
    <t>Homemade creamy chicken pasta (values bsed on 	
Chicken Carbonara Pasta on nutritionix.com)</t>
  </si>
  <si>
    <t>07030</t>
  </si>
  <si>
    <t>07011</t>
  </si>
  <si>
    <t>05050</t>
  </si>
  <si>
    <t>Cleaning the kitchen (light effort)</t>
  </si>
  <si>
    <t>05051</t>
  </si>
  <si>
    <t>Standing at the dog park quietly</t>
  </si>
  <si>
    <t>07040</t>
  </si>
  <si>
    <t>02034</t>
  </si>
  <si>
    <t>05042</t>
  </si>
  <si>
    <t>7.45 PM</t>
  </si>
  <si>
    <t>8.00 PM</t>
  </si>
  <si>
    <t>10.25 PM</t>
  </si>
  <si>
    <t>10.30 PM</t>
  </si>
  <si>
    <t>7.30 AM</t>
  </si>
  <si>
    <t>7.35 AM</t>
  </si>
  <si>
    <t>Light household chores</t>
  </si>
  <si>
    <t>7.45 AM</t>
  </si>
  <si>
    <t>7.55 AM</t>
  </si>
  <si>
    <t>8.10 AM</t>
  </si>
  <si>
    <t>8.20 AM</t>
  </si>
  <si>
    <t>Packing to leave home</t>
  </si>
  <si>
    <t>9.10 AM</t>
  </si>
  <si>
    <t>Walking to a meeting</t>
  </si>
  <si>
    <t>Driving</t>
  </si>
  <si>
    <t>9.20 AM</t>
  </si>
  <si>
    <t>Sitting at a meeting</t>
  </si>
  <si>
    <t>Walking to work</t>
  </si>
  <si>
    <t>10.25 AM</t>
  </si>
  <si>
    <t>8.10 AM - Breakfast</t>
  </si>
  <si>
    <t>75g</t>
  </si>
  <si>
    <t>6g</t>
  </si>
  <si>
    <t>200 g</t>
  </si>
  <si>
    <t>11.25 AM</t>
  </si>
  <si>
    <t>11.25 AM - Lunch</t>
  </si>
  <si>
    <t>Washing cutlery standing</t>
  </si>
  <si>
    <t>11.40 AM</t>
  </si>
  <si>
    <t xml:space="preserve">Making Tea </t>
  </si>
  <si>
    <t>Coles Raw Sugar</t>
  </si>
  <si>
    <t>1 tea bag</t>
  </si>
  <si>
    <t>Blueberry Tea bag in hot water</t>
  </si>
  <si>
    <t>1.00 PM</t>
  </si>
  <si>
    <t>1.05 PM</t>
  </si>
  <si>
    <t>Walking to the car</t>
  </si>
  <si>
    <t>Hot chocolate</t>
  </si>
  <si>
    <t>10.00 AM - Breakfast</t>
  </si>
  <si>
    <t>12.00 PM - Lunch</t>
  </si>
  <si>
    <t xml:space="preserve">Bolognese meatball sauce </t>
  </si>
  <si>
    <t>Boiled eggs</t>
  </si>
  <si>
    <t>5.00 PM</t>
  </si>
  <si>
    <t>5.10 PM</t>
  </si>
  <si>
    <t>5.30 PM</t>
  </si>
  <si>
    <t>6.15 PM</t>
  </si>
  <si>
    <t>6.40 PM</t>
  </si>
  <si>
    <t>Folding and putting away laundry</t>
  </si>
  <si>
    <t>7.00 PM</t>
  </si>
  <si>
    <t>Sitting and watching TV</t>
  </si>
  <si>
    <t>8.10 PM</t>
  </si>
  <si>
    <t>10.10 PM</t>
  </si>
  <si>
    <t>10.15 PM</t>
  </si>
  <si>
    <t>Doing an exercise video (light effort)</t>
  </si>
  <si>
    <t>Piece of white bread roll (values estimated based on Woolworths Extra Soft Hotdog Bread Rolls)</t>
  </si>
  <si>
    <t>6.25 PM - Dinner</t>
  </si>
  <si>
    <t>sweet potato fries</t>
  </si>
  <si>
    <t>half rack of BBQ Pork ribs</t>
  </si>
  <si>
    <t>Half rack</t>
  </si>
  <si>
    <t>1 serving</t>
  </si>
  <si>
    <t>Tiramisu</t>
  </si>
  <si>
    <t>1 teas spoon (10g)</t>
  </si>
  <si>
    <t>1.5 serving</t>
  </si>
  <si>
    <t>250 ml</t>
  </si>
  <si>
    <t>Sushi Rice cooked</t>
  </si>
  <si>
    <t>250 g</t>
  </si>
  <si>
    <t>2 eggs</t>
  </si>
  <si>
    <t>Cucumber</t>
  </si>
  <si>
    <t>KFC Zinger Burger</t>
  </si>
  <si>
    <t>KFC Double Tender Burger</t>
  </si>
  <si>
    <t>KFC Chocolate Mousse</t>
  </si>
  <si>
    <t>Making a drink in the kitchen</t>
  </si>
  <si>
    <t>10.00 AM</t>
  </si>
  <si>
    <t>12.30 PM</t>
  </si>
  <si>
    <t>12.40 PM</t>
  </si>
  <si>
    <t>3.45 PM</t>
  </si>
  <si>
    <t>7.15 PM</t>
  </si>
  <si>
    <t>5.45 PM</t>
  </si>
  <si>
    <t>Driving to KFC</t>
  </si>
  <si>
    <t>5.55 PM</t>
  </si>
  <si>
    <t>6.15 PM  - Dinner</t>
  </si>
  <si>
    <t>6.35 PM</t>
  </si>
  <si>
    <t>Playing the piano</t>
  </si>
  <si>
    <t>Eating dinner</t>
  </si>
  <si>
    <t>7.30 PM</t>
  </si>
  <si>
    <t>Loading the dishwasher</t>
  </si>
  <si>
    <t>7.40 PM</t>
  </si>
  <si>
    <t>7.50 PM</t>
  </si>
  <si>
    <t>10.20 PM</t>
  </si>
  <si>
    <t>11.45 AM</t>
  </si>
  <si>
    <t>11.50 AM</t>
  </si>
  <si>
    <t>05025</t>
  </si>
  <si>
    <t>05090</t>
  </si>
  <si>
    <t>05095</t>
  </si>
  <si>
    <t>16010</t>
  </si>
  <si>
    <t>07020</t>
  </si>
  <si>
    <t>13030 </t>
  </si>
  <si>
    <t>Eating breakfast while sitting</t>
  </si>
  <si>
    <t>07022</t>
  </si>
  <si>
    <t>Eating Lunch sitting at Desk while talking</t>
  </si>
  <si>
    <t>05035</t>
  </si>
  <si>
    <t>10070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</si>
</sst>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i/>
      <sz val="11"/>
      <name val="Calibri"/>
      <family val="2"/>
      <scheme val="minor"/>
    </font>
    <font>
      <b/>
      <sz val="11"/>
      <color rgb="FFFF0000"/>
      <name val="Calibri"/>
      <family val="2"/>
      <scheme val="minor"/>
    </font>
    <font>
      <b/>
      <i/>
      <sz val="11"/>
      <color theme="0"/>
      <name val="Calibri"/>
      <family val="2"/>
      <scheme val="minor"/>
    </font>
    <font>
      <sz val="11"/>
      <name val="Calibri"/>
      <family val="2"/>
      <scheme val="minor"/>
    </font>
    <font>
      <sz val="11"/>
      <color theme="0"/>
      <name val="Calibri"/>
      <family val="2"/>
      <scheme val="minor"/>
    </font>
    <font>
      <sz val="14"/>
      <color theme="1"/>
      <name val="Calibri"/>
      <family val="2"/>
      <scheme val="minor"/>
    </font>
    <font>
      <sz val="11"/>
      <color theme="4"/>
      <name val="Calibri"/>
      <family val="2"/>
      <scheme val="minor"/>
    </font>
    <font>
      <b/>
      <sz val="11"/>
      <color theme="4"/>
      <name val="Calibri"/>
      <family val="2"/>
      <scheme val="minor"/>
    </font>
    <font>
      <sz val="11"/>
      <color rgb="FF0070C0"/>
      <name val="Calibri"/>
      <family val="2"/>
      <scheme val="minor"/>
    </font>
    <font>
      <b/>
      <sz val="11"/>
      <color rgb="FF0070C0"/>
      <name val="Calibri"/>
      <family val="2"/>
      <scheme val="minor"/>
    </font>
    <font>
      <i/>
      <sz val="11"/>
      <color theme="0"/>
      <name val="Calibri"/>
      <family val="2"/>
      <scheme val="minor"/>
    </font>
    <font>
      <b/>
      <sz val="14"/>
      <name val="Calibri"/>
      <family val="2"/>
      <scheme val="minor"/>
    </font>
    <font>
      <sz val="11"/>
      <color theme="8" tint="-0.249977111117893"/>
      <name val="Calibri"/>
      <family val="2"/>
      <scheme val="minor"/>
    </font>
    <font>
      <b/>
      <sz val="11"/>
      <color theme="8" tint="-0.249977111117893"/>
      <name val="Calibri"/>
      <family val="2"/>
      <scheme val="minor"/>
    </font>
    <font>
      <sz val="8"/>
      <name val="Calibri"/>
      <family val="2"/>
      <scheme val="minor"/>
    </font>
    <font>
      <u/>
      <sz val="11"/>
      <color theme="10"/>
      <name val="Calibri"/>
      <family val="2"/>
      <scheme val="minor"/>
    </font>
    <font>
      <sz val="8"/>
      <color rgb="FF3D3D3D"/>
      <name val="Var(--typography-body_300-fontF"/>
    </font>
    <font>
      <b/>
      <i/>
      <sz val="11"/>
      <name val="Calibri"/>
      <family val="2"/>
      <scheme val="minor"/>
    </font>
    <font>
      <b/>
      <sz val="14"/>
      <color theme="1"/>
      <name val="Calibri"/>
      <family val="2"/>
      <scheme val="minor"/>
    </font>
    <font>
      <b/>
      <sz val="11"/>
      <color rgb="FFC00000"/>
      <name val="Calibri"/>
      <family val="2"/>
      <scheme val="minor"/>
    </font>
    <font>
      <sz val="11"/>
      <color rgb="FFFF0000"/>
      <name val="Calibri"/>
      <family val="2"/>
      <scheme val="minor"/>
    </font>
    <font>
      <sz val="11"/>
      <color theme="1"/>
      <name val="Calibri "/>
    </font>
    <font>
      <b/>
      <i/>
      <sz val="11"/>
      <color theme="0"/>
      <name val="Calibri "/>
    </font>
    <font>
      <sz val="11"/>
      <name val="Calibri "/>
    </font>
    <font>
      <sz val="11"/>
      <color rgb="FF000000"/>
      <name val="Calibri "/>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9" tint="-0.249977111117893"/>
        <bgColor indexed="64"/>
      </patternFill>
    </fill>
    <fill>
      <patternFill patternType="solid">
        <fgColor rgb="FF0070C0"/>
        <bgColor indexed="64"/>
      </patternFill>
    </fill>
    <fill>
      <patternFill patternType="solid">
        <fgColor rgb="FFFFFFFF"/>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9" fillId="0" borderId="0" applyNumberFormat="0" applyFill="0" applyBorder="0" applyAlignment="0" applyProtection="0"/>
  </cellStyleXfs>
  <cellXfs count="171">
    <xf numFmtId="0" fontId="0" fillId="0" borderId="0" xfId="0"/>
    <xf numFmtId="0" fontId="1" fillId="0" borderId="2" xfId="0" applyFont="1" applyBorder="1"/>
    <xf numFmtId="0" fontId="1" fillId="0" borderId="4" xfId="0" applyFont="1" applyBorder="1"/>
    <xf numFmtId="0" fontId="1" fillId="0" borderId="6" xfId="0" applyFont="1" applyBorder="1"/>
    <xf numFmtId="0" fontId="1" fillId="0" borderId="0" xfId="0" applyFont="1"/>
    <xf numFmtId="0" fontId="2" fillId="0" borderId="0" xfId="0" applyFont="1"/>
    <xf numFmtId="0" fontId="2" fillId="0" borderId="2" xfId="0" applyFont="1" applyBorder="1"/>
    <xf numFmtId="0" fontId="2" fillId="0" borderId="4" xfId="0" applyFont="1" applyBorder="1"/>
    <xf numFmtId="0" fontId="2" fillId="0" borderId="6" xfId="0" applyFont="1" applyBorder="1"/>
    <xf numFmtId="0" fontId="0" fillId="3" borderId="3" xfId="0" applyFill="1" applyBorder="1" applyAlignment="1">
      <alignment horizontal="right"/>
    </xf>
    <xf numFmtId="0" fontId="0" fillId="3" borderId="14" xfId="0" applyFill="1" applyBorder="1" applyAlignment="1">
      <alignment horizontal="right"/>
    </xf>
    <xf numFmtId="0" fontId="0" fillId="3" borderId="5" xfId="0" applyFill="1" applyBorder="1" applyAlignment="1">
      <alignment horizontal="right"/>
    </xf>
    <xf numFmtId="0" fontId="0" fillId="3" borderId="12" xfId="0" applyFill="1" applyBorder="1" applyAlignment="1">
      <alignment horizontal="right"/>
    </xf>
    <xf numFmtId="0" fontId="2" fillId="0" borderId="13" xfId="0" applyFont="1" applyBorder="1"/>
    <xf numFmtId="0" fontId="2" fillId="0" borderId="11" xfId="0" applyFont="1" applyBorder="1"/>
    <xf numFmtId="0" fontId="0" fillId="2" borderId="7" xfId="0" applyFill="1" applyBorder="1" applyAlignment="1">
      <alignment horizontal="right"/>
    </xf>
    <xf numFmtId="2" fontId="0" fillId="0" borderId="0" xfId="0" applyNumberFormat="1"/>
    <xf numFmtId="0" fontId="2" fillId="4" borderId="0" xfId="0" applyFont="1" applyFill="1"/>
    <xf numFmtId="0" fontId="0" fillId="0" borderId="0" xfId="0" applyAlignment="1">
      <alignment horizontal="right"/>
    </xf>
    <xf numFmtId="2" fontId="3" fillId="0" borderId="0" xfId="0" applyNumberFormat="1" applyFont="1"/>
    <xf numFmtId="0" fontId="7" fillId="3" borderId="1" xfId="0" applyFont="1" applyFill="1" applyBorder="1" applyAlignment="1">
      <alignment horizontal="left"/>
    </xf>
    <xf numFmtId="0" fontId="0" fillId="2" borderId="5" xfId="0" applyFill="1" applyBorder="1"/>
    <xf numFmtId="0" fontId="12" fillId="0" borderId="0" xfId="0" applyFont="1"/>
    <xf numFmtId="0" fontId="10" fillId="0" borderId="0" xfId="0" applyFont="1" applyAlignment="1">
      <alignment horizontal="left" vertical="top"/>
    </xf>
    <xf numFmtId="0" fontId="2" fillId="0" borderId="19" xfId="0" applyFont="1" applyBorder="1"/>
    <xf numFmtId="0" fontId="1" fillId="0" borderId="18" xfId="0" applyFont="1" applyBorder="1"/>
    <xf numFmtId="0" fontId="1" fillId="0" borderId="1" xfId="0" applyFont="1" applyBorder="1"/>
    <xf numFmtId="0" fontId="2" fillId="0" borderId="1" xfId="0" applyFont="1" applyBorder="1"/>
    <xf numFmtId="0" fontId="0" fillId="2" borderId="3" xfId="0" applyFill="1" applyBorder="1"/>
    <xf numFmtId="0" fontId="1" fillId="0" borderId="20" xfId="0" applyFont="1" applyBorder="1"/>
    <xf numFmtId="0" fontId="1" fillId="0" borderId="21" xfId="0" applyFont="1" applyBorder="1"/>
    <xf numFmtId="0" fontId="1" fillId="0" borderId="22" xfId="0" applyFont="1" applyBorder="1"/>
    <xf numFmtId="0" fontId="2" fillId="0" borderId="22" xfId="0" applyFont="1" applyBorder="1"/>
    <xf numFmtId="0" fontId="2" fillId="0" borderId="23" xfId="0" applyFont="1" applyBorder="1"/>
    <xf numFmtId="2" fontId="4" fillId="2" borderId="22" xfId="0" applyNumberFormat="1" applyFont="1" applyFill="1" applyBorder="1"/>
    <xf numFmtId="2" fontId="3" fillId="2" borderId="22" xfId="0" applyNumberFormat="1" applyFont="1" applyFill="1" applyBorder="1"/>
    <xf numFmtId="2" fontId="3" fillId="2" borderId="23" xfId="0" applyNumberFormat="1" applyFont="1" applyFill="1" applyBorder="1"/>
    <xf numFmtId="0" fontId="6" fillId="6" borderId="0" xfId="0" applyFont="1" applyFill="1"/>
    <xf numFmtId="0" fontId="0" fillId="6" borderId="0" xfId="0" applyFill="1"/>
    <xf numFmtId="2" fontId="8" fillId="6" borderId="0" xfId="0" applyNumberFormat="1" applyFont="1" applyFill="1"/>
    <xf numFmtId="0" fontId="8" fillId="6" borderId="0" xfId="0" applyFont="1" applyFill="1" applyAlignment="1">
      <alignment horizontal="right"/>
    </xf>
    <xf numFmtId="0" fontId="8" fillId="6" borderId="0" xfId="0" applyFont="1" applyFill="1"/>
    <xf numFmtId="0" fontId="1" fillId="0" borderId="17" xfId="0" applyFont="1" applyBorder="1"/>
    <xf numFmtId="2" fontId="4" fillId="2" borderId="24" xfId="0" applyNumberFormat="1" applyFont="1" applyFill="1" applyBorder="1"/>
    <xf numFmtId="2" fontId="3" fillId="2" borderId="24" xfId="0" applyNumberFormat="1" applyFont="1" applyFill="1" applyBorder="1"/>
    <xf numFmtId="2" fontId="3" fillId="2" borderId="25" xfId="0" applyNumberFormat="1" applyFont="1" applyFill="1" applyBorder="1"/>
    <xf numFmtId="0" fontId="8" fillId="0" borderId="0" xfId="0" applyFont="1"/>
    <xf numFmtId="2" fontId="14" fillId="0" borderId="0" xfId="0" applyNumberFormat="1" applyFont="1"/>
    <xf numFmtId="0" fontId="0" fillId="2" borderId="7" xfId="0" applyFill="1" applyBorder="1"/>
    <xf numFmtId="0" fontId="9" fillId="0" borderId="0" xfId="0" applyFont="1"/>
    <xf numFmtId="0" fontId="9" fillId="0" borderId="0" xfId="0" applyFont="1" applyAlignment="1">
      <alignment vertical="center"/>
    </xf>
    <xf numFmtId="0" fontId="16" fillId="0" borderId="0" xfId="0" applyFont="1"/>
    <xf numFmtId="1" fontId="0" fillId="2" borderId="3" xfId="0" applyNumberFormat="1" applyFill="1" applyBorder="1"/>
    <xf numFmtId="1" fontId="0" fillId="2" borderId="7" xfId="0" applyNumberFormat="1" applyFill="1" applyBorder="1"/>
    <xf numFmtId="0" fontId="0" fillId="2" borderId="21" xfId="0" applyFill="1" applyBorder="1"/>
    <xf numFmtId="0" fontId="0" fillId="2" borderId="22" xfId="0" applyFill="1" applyBorder="1"/>
    <xf numFmtId="0" fontId="15" fillId="0" borderId="0" xfId="0" applyFont="1"/>
    <xf numFmtId="0" fontId="13" fillId="0" borderId="0" xfId="0" applyFont="1"/>
    <xf numFmtId="0" fontId="19" fillId="0" borderId="0" xfId="1"/>
    <xf numFmtId="0" fontId="12" fillId="0" borderId="0" xfId="0" applyFont="1" applyAlignment="1">
      <alignment horizontal="center" wrapText="1"/>
    </xf>
    <xf numFmtId="2" fontId="6" fillId="0" borderId="0" xfId="0" applyNumberFormat="1" applyFont="1"/>
    <xf numFmtId="0" fontId="0" fillId="0" borderId="0" xfId="0" applyAlignment="1">
      <alignment vertical="center"/>
    </xf>
    <xf numFmtId="0" fontId="12" fillId="0" borderId="0" xfId="0" applyFont="1" applyAlignment="1">
      <alignment vertical="top" wrapText="1"/>
    </xf>
    <xf numFmtId="0" fontId="0" fillId="3" borderId="1" xfId="0" applyFill="1" applyBorder="1" applyAlignment="1">
      <alignment horizontal="left"/>
    </xf>
    <xf numFmtId="0" fontId="7" fillId="0" borderId="0" xfId="0" applyFont="1" applyAlignment="1">
      <alignment horizontal="center"/>
    </xf>
    <xf numFmtId="0" fontId="7" fillId="0" borderId="0" xfId="0" applyFont="1" applyAlignment="1">
      <alignment horizontal="left"/>
    </xf>
    <xf numFmtId="1" fontId="0" fillId="3" borderId="1" xfId="0" applyNumberFormat="1" applyFill="1" applyBorder="1" applyAlignment="1">
      <alignment horizontal="left"/>
    </xf>
    <xf numFmtId="2" fontId="21" fillId="0" borderId="0" xfId="0" applyNumberFormat="1" applyFont="1"/>
    <xf numFmtId="0" fontId="22" fillId="0" borderId="0" xfId="0" applyFont="1" applyAlignment="1">
      <alignment vertical="center"/>
    </xf>
    <xf numFmtId="0" fontId="22" fillId="0" borderId="0" xfId="0" applyFont="1"/>
    <xf numFmtId="0" fontId="1" fillId="0" borderId="0" xfId="0" applyFont="1" applyAlignment="1">
      <alignment vertical="center"/>
    </xf>
    <xf numFmtId="0" fontId="24" fillId="0" borderId="0" xfId="0" applyFont="1"/>
    <xf numFmtId="0" fontId="24" fillId="0" borderId="0" xfId="0" applyFont="1" applyAlignment="1">
      <alignment wrapText="1"/>
    </xf>
    <xf numFmtId="0" fontId="0" fillId="7" borderId="0" xfId="0" applyFill="1" applyAlignment="1">
      <alignment horizontal="left" vertical="center"/>
    </xf>
    <xf numFmtId="0" fontId="20" fillId="7" borderId="0" xfId="0" applyFont="1" applyFill="1" applyAlignment="1">
      <alignment horizontal="left" vertical="center"/>
    </xf>
    <xf numFmtId="0" fontId="12" fillId="0" borderId="0" xfId="0" applyFont="1" applyAlignment="1">
      <alignment horizontal="left" vertical="top" wrapText="1"/>
    </xf>
    <xf numFmtId="0" fontId="6" fillId="6" borderId="30" xfId="0" applyFont="1" applyFill="1" applyBorder="1"/>
    <xf numFmtId="0" fontId="5" fillId="6" borderId="31" xfId="0" applyFont="1" applyFill="1" applyBorder="1"/>
    <xf numFmtId="0" fontId="0" fillId="6" borderId="31" xfId="0" applyFill="1" applyBorder="1"/>
    <xf numFmtId="0" fontId="0" fillId="6" borderId="32" xfId="0" applyFill="1" applyBorder="1"/>
    <xf numFmtId="0" fontId="1" fillId="0" borderId="19" xfId="0" applyFont="1" applyBorder="1"/>
    <xf numFmtId="2" fontId="9" fillId="0" borderId="0" xfId="0" applyNumberFormat="1" applyFont="1" applyAlignment="1">
      <alignment vertical="center"/>
    </xf>
    <xf numFmtId="2" fontId="9" fillId="0" borderId="0" xfId="0" applyNumberFormat="1" applyFont="1"/>
    <xf numFmtId="0" fontId="1" fillId="0" borderId="2" xfId="0" applyFont="1" applyBorder="1" applyAlignment="1">
      <alignment wrapText="1"/>
    </xf>
    <xf numFmtId="0" fontId="1" fillId="0" borderId="6" xfId="0" applyFont="1" applyBorder="1" applyAlignment="1">
      <alignment wrapText="1"/>
    </xf>
    <xf numFmtId="49" fontId="10" fillId="0" borderId="0" xfId="0" applyNumberFormat="1" applyFont="1" applyAlignment="1">
      <alignment horizontal="left" vertical="top"/>
    </xf>
    <xf numFmtId="49" fontId="0" fillId="0" borderId="0" xfId="0" applyNumberFormat="1" applyAlignment="1">
      <alignment horizontal="left"/>
    </xf>
    <xf numFmtId="49" fontId="19" fillId="0" borderId="0" xfId="1" applyNumberFormat="1" applyAlignment="1">
      <alignment horizontal="left"/>
    </xf>
    <xf numFmtId="49" fontId="8" fillId="6" borderId="0" xfId="0" applyNumberFormat="1" applyFont="1" applyFill="1" applyAlignment="1">
      <alignment horizontal="left"/>
    </xf>
    <xf numFmtId="49" fontId="1" fillId="0" borderId="9" xfId="0" applyNumberFormat="1" applyFont="1" applyBorder="1" applyAlignment="1">
      <alignment horizontal="left"/>
    </xf>
    <xf numFmtId="49" fontId="16" fillId="0" borderId="0" xfId="0" applyNumberFormat="1" applyFont="1" applyAlignment="1">
      <alignment horizontal="left"/>
    </xf>
    <xf numFmtId="0" fontId="7" fillId="3" borderId="38" xfId="0" applyFont="1" applyFill="1" applyBorder="1" applyAlignment="1">
      <alignment horizontal="left"/>
    </xf>
    <xf numFmtId="0" fontId="7" fillId="3" borderId="29" xfId="0" applyFont="1" applyFill="1" applyBorder="1" applyAlignment="1">
      <alignment horizontal="left"/>
    </xf>
    <xf numFmtId="0" fontId="7" fillId="3" borderId="3" xfId="0" applyFont="1" applyFill="1" applyBorder="1" applyAlignment="1">
      <alignment horizontal="left"/>
    </xf>
    <xf numFmtId="0" fontId="7" fillId="3" borderId="43" xfId="0" applyFont="1" applyFill="1" applyBorder="1" applyAlignment="1">
      <alignment horizontal="left"/>
    </xf>
    <xf numFmtId="0" fontId="7" fillId="3" borderId="36" xfId="0" applyFont="1" applyFill="1" applyBorder="1" applyAlignment="1">
      <alignment horizontal="left"/>
    </xf>
    <xf numFmtId="0" fontId="7" fillId="3" borderId="7" xfId="0" applyFont="1" applyFill="1" applyBorder="1" applyAlignment="1">
      <alignment horizontal="left"/>
    </xf>
    <xf numFmtId="0" fontId="7" fillId="3" borderId="38" xfId="0" applyFont="1" applyFill="1" applyBorder="1" applyAlignment="1">
      <alignment horizontal="left" wrapText="1"/>
    </xf>
    <xf numFmtId="0" fontId="7" fillId="3" borderId="39" xfId="0" applyFont="1" applyFill="1" applyBorder="1" applyAlignment="1">
      <alignment horizontal="left" wrapText="1"/>
    </xf>
    <xf numFmtId="0" fontId="7" fillId="3" borderId="5" xfId="0" applyFont="1" applyFill="1" applyBorder="1" applyAlignment="1">
      <alignment horizontal="left"/>
    </xf>
    <xf numFmtId="0" fontId="7" fillId="3" borderId="39" xfId="0" applyFont="1" applyFill="1" applyBorder="1" applyAlignment="1">
      <alignment horizontal="left"/>
    </xf>
    <xf numFmtId="0" fontId="0" fillId="3" borderId="8" xfId="0" applyFill="1" applyBorder="1" applyAlignment="1">
      <alignment horizontal="left" vertical="center"/>
    </xf>
    <xf numFmtId="0" fontId="7" fillId="3" borderId="9" xfId="0" applyFont="1" applyFill="1" applyBorder="1" applyAlignment="1">
      <alignment horizontal="left"/>
    </xf>
    <xf numFmtId="0" fontId="7" fillId="3" borderId="10" xfId="0" applyFont="1" applyFill="1" applyBorder="1" applyAlignment="1">
      <alignment horizontal="left"/>
    </xf>
    <xf numFmtId="0" fontId="7" fillId="3" borderId="29" xfId="0" applyFont="1" applyFill="1" applyBorder="1" applyAlignment="1">
      <alignment horizontal="left" vertical="center" wrapText="1"/>
    </xf>
    <xf numFmtId="0" fontId="0" fillId="3" borderId="36" xfId="0" applyFill="1" applyBorder="1" applyAlignment="1">
      <alignment horizontal="left"/>
    </xf>
    <xf numFmtId="0" fontId="0" fillId="3" borderId="29" xfId="0" applyFill="1" applyBorder="1" applyAlignment="1">
      <alignment horizontal="left"/>
    </xf>
    <xf numFmtId="0" fontId="1" fillId="0" borderId="8" xfId="0" applyFont="1" applyBorder="1"/>
    <xf numFmtId="0" fontId="1" fillId="0" borderId="9" xfId="0" applyFont="1" applyBorder="1"/>
    <xf numFmtId="0" fontId="1" fillId="0" borderId="15" xfId="0" applyFont="1" applyBorder="1"/>
    <xf numFmtId="0" fontId="1" fillId="0" borderId="10" xfId="0" applyFont="1" applyBorder="1"/>
    <xf numFmtId="18" fontId="25" fillId="3" borderId="2" xfId="0" applyNumberFormat="1" applyFont="1" applyFill="1" applyBorder="1" applyAlignment="1">
      <alignment horizontal="left"/>
    </xf>
    <xf numFmtId="0" fontId="25" fillId="3" borderId="29" xfId="0" applyFont="1" applyFill="1" applyBorder="1"/>
    <xf numFmtId="49" fontId="25" fillId="3" borderId="29" xfId="0" applyNumberFormat="1" applyFont="1" applyFill="1" applyBorder="1" applyAlignment="1">
      <alignment horizontal="center"/>
    </xf>
    <xf numFmtId="0" fontId="25" fillId="3" borderId="29" xfId="0" applyFont="1" applyFill="1" applyBorder="1" applyAlignment="1">
      <alignment horizontal="center" vertical="center"/>
    </xf>
    <xf numFmtId="2" fontId="25" fillId="3" borderId="29" xfId="0" applyNumberFormat="1" applyFont="1" applyFill="1" applyBorder="1" applyAlignment="1">
      <alignment horizontal="center" vertical="center"/>
    </xf>
    <xf numFmtId="2" fontId="25" fillId="2" borderId="3" xfId="0" applyNumberFormat="1" applyFont="1" applyFill="1" applyBorder="1" applyAlignment="1">
      <alignment horizontal="center" vertical="center"/>
    </xf>
    <xf numFmtId="18" fontId="25" fillId="3" borderId="4" xfId="0" applyNumberFormat="1" applyFont="1" applyFill="1" applyBorder="1" applyAlignment="1">
      <alignment horizontal="left"/>
    </xf>
    <xf numFmtId="0" fontId="25" fillId="3" borderId="1" xfId="0" applyFont="1" applyFill="1" applyBorder="1"/>
    <xf numFmtId="49" fontId="25" fillId="3" borderId="1" xfId="0" applyNumberFormat="1" applyFont="1" applyFill="1" applyBorder="1" applyAlignment="1">
      <alignment horizontal="center"/>
    </xf>
    <xf numFmtId="0" fontId="25" fillId="3" borderId="1" xfId="0" applyFont="1" applyFill="1" applyBorder="1" applyAlignment="1">
      <alignment horizontal="center" vertical="center"/>
    </xf>
    <xf numFmtId="2" fontId="25" fillId="3" borderId="1" xfId="0" applyNumberFormat="1" applyFont="1" applyFill="1" applyBorder="1" applyAlignment="1">
      <alignment horizontal="center" vertical="center"/>
    </xf>
    <xf numFmtId="2" fontId="25" fillId="2" borderId="5" xfId="0" applyNumberFormat="1" applyFont="1" applyFill="1" applyBorder="1" applyAlignment="1">
      <alignment horizontal="center" vertical="center"/>
    </xf>
    <xf numFmtId="0" fontId="25" fillId="3" borderId="1" xfId="0" applyFont="1" applyFill="1" applyBorder="1" applyAlignment="1">
      <alignment wrapText="1"/>
    </xf>
    <xf numFmtId="0" fontId="25" fillId="3" borderId="1" xfId="0" applyFont="1" applyFill="1" applyBorder="1" applyAlignment="1">
      <alignment horizontal="center"/>
    </xf>
    <xf numFmtId="18" fontId="25" fillId="3" borderId="6" xfId="0" applyNumberFormat="1" applyFont="1" applyFill="1" applyBorder="1" applyAlignment="1">
      <alignment horizontal="left"/>
    </xf>
    <xf numFmtId="0" fontId="25" fillId="3" borderId="36" xfId="0" applyFont="1" applyFill="1" applyBorder="1"/>
    <xf numFmtId="49" fontId="25" fillId="3" borderId="36" xfId="0" applyNumberFormat="1" applyFont="1" applyFill="1" applyBorder="1" applyAlignment="1">
      <alignment horizontal="center"/>
    </xf>
    <xf numFmtId="0" fontId="25" fillId="3" borderId="36" xfId="0" applyFont="1" applyFill="1" applyBorder="1" applyAlignment="1">
      <alignment horizontal="center" vertical="center"/>
    </xf>
    <xf numFmtId="2" fontId="25" fillId="3" borderId="36" xfId="0" applyNumberFormat="1" applyFont="1" applyFill="1" applyBorder="1" applyAlignment="1">
      <alignment horizontal="center" vertical="center"/>
    </xf>
    <xf numFmtId="2" fontId="25" fillId="2" borderId="7" xfId="0" applyNumberFormat="1" applyFont="1" applyFill="1" applyBorder="1" applyAlignment="1">
      <alignment horizontal="center" vertical="center"/>
    </xf>
    <xf numFmtId="49" fontId="27" fillId="3" borderId="29" xfId="0" applyNumberFormat="1" applyFont="1" applyFill="1" applyBorder="1" applyAlignment="1">
      <alignment horizontal="center"/>
    </xf>
    <xf numFmtId="0" fontId="27" fillId="3" borderId="29" xfId="0" applyFont="1" applyFill="1" applyBorder="1" applyAlignment="1">
      <alignment horizontal="center" vertical="center"/>
    </xf>
    <xf numFmtId="0" fontId="25" fillId="3" borderId="29" xfId="0" applyFont="1" applyFill="1" applyBorder="1" applyAlignment="1">
      <alignment horizontal="center"/>
    </xf>
    <xf numFmtId="2" fontId="25" fillId="2" borderId="3" xfId="0" applyNumberFormat="1" applyFont="1" applyFill="1" applyBorder="1" applyAlignment="1">
      <alignment horizontal="right"/>
    </xf>
    <xf numFmtId="49" fontId="27" fillId="3" borderId="1" xfId="0" applyNumberFormat="1" applyFont="1" applyFill="1" applyBorder="1" applyAlignment="1">
      <alignment horizontal="center"/>
    </xf>
    <xf numFmtId="0" fontId="27" fillId="3" borderId="1" xfId="0" applyFont="1" applyFill="1" applyBorder="1" applyAlignment="1">
      <alignment horizontal="center"/>
    </xf>
    <xf numFmtId="2" fontId="25" fillId="2" borderId="5" xfId="0" applyNumberFormat="1" applyFont="1" applyFill="1" applyBorder="1" applyAlignment="1">
      <alignment horizontal="right"/>
    </xf>
    <xf numFmtId="0" fontId="28" fillId="3" borderId="1" xfId="0" applyFont="1" applyFill="1" applyBorder="1"/>
    <xf numFmtId="0" fontId="25" fillId="3" borderId="16" xfId="0" applyFont="1" applyFill="1" applyBorder="1"/>
    <xf numFmtId="0" fontId="27" fillId="3" borderId="0" xfId="0" applyFont="1" applyFill="1" applyAlignment="1">
      <alignment horizontal="center"/>
    </xf>
    <xf numFmtId="0" fontId="27" fillId="3" borderId="1" xfId="0" applyFont="1" applyFill="1" applyBorder="1" applyAlignment="1">
      <alignment horizontal="center" vertical="center"/>
    </xf>
    <xf numFmtId="0" fontId="25" fillId="3" borderId="0" xfId="0" applyFont="1" applyFill="1" applyAlignment="1">
      <alignment horizontal="center"/>
    </xf>
    <xf numFmtId="49" fontId="27" fillId="3" borderId="36" xfId="0" applyNumberFormat="1" applyFont="1" applyFill="1" applyBorder="1" applyAlignment="1">
      <alignment horizontal="center"/>
    </xf>
    <xf numFmtId="0" fontId="27" fillId="3" borderId="36" xfId="0" applyFont="1" applyFill="1" applyBorder="1" applyAlignment="1">
      <alignment horizontal="center"/>
    </xf>
    <xf numFmtId="0" fontId="25" fillId="3" borderId="36" xfId="0" applyFont="1" applyFill="1" applyBorder="1" applyAlignment="1">
      <alignment horizontal="center"/>
    </xf>
    <xf numFmtId="2" fontId="25" fillId="2" borderId="7" xfId="0" applyNumberFormat="1" applyFont="1" applyFill="1" applyBorder="1" applyAlignment="1">
      <alignment horizontal="right"/>
    </xf>
    <xf numFmtId="2" fontId="25" fillId="3" borderId="29" xfId="0" applyNumberFormat="1" applyFont="1" applyFill="1" applyBorder="1" applyAlignment="1">
      <alignment horizontal="center"/>
    </xf>
    <xf numFmtId="2" fontId="25" fillId="3" borderId="1" xfId="0" applyNumberFormat="1" applyFont="1" applyFill="1" applyBorder="1" applyAlignment="1">
      <alignment horizontal="center"/>
    </xf>
    <xf numFmtId="2" fontId="25" fillId="3" borderId="36" xfId="0" applyNumberFormat="1" applyFont="1" applyFill="1" applyBorder="1" applyAlignment="1">
      <alignment horizontal="center"/>
    </xf>
    <xf numFmtId="0" fontId="6" fillId="5" borderId="26" xfId="0" applyFont="1" applyFill="1" applyBorder="1" applyAlignment="1">
      <alignment horizontal="left" vertical="center"/>
    </xf>
    <xf numFmtId="0" fontId="6" fillId="5" borderId="27" xfId="0" applyFont="1" applyFill="1" applyBorder="1" applyAlignment="1">
      <alignment horizontal="left" vertical="center"/>
    </xf>
    <xf numFmtId="0" fontId="6" fillId="5" borderId="28" xfId="0" applyFont="1" applyFill="1" applyBorder="1" applyAlignment="1">
      <alignment horizontal="left" vertical="center"/>
    </xf>
    <xf numFmtId="16" fontId="0" fillId="3" borderId="19" xfId="0" applyNumberFormat="1" applyFill="1" applyBorder="1" applyAlignment="1">
      <alignment horizontal="left" vertical="center"/>
    </xf>
    <xf numFmtId="16" fontId="0" fillId="3" borderId="35" xfId="0" applyNumberFormat="1" applyFill="1" applyBorder="1" applyAlignment="1">
      <alignment horizontal="left" vertical="center"/>
    </xf>
    <xf numFmtId="16" fontId="0" fillId="3" borderId="34" xfId="0" applyNumberFormat="1" applyFill="1" applyBorder="1" applyAlignment="1">
      <alignment horizontal="left" vertical="center"/>
    </xf>
    <xf numFmtId="0" fontId="0" fillId="3" borderId="40" xfId="0" applyFill="1" applyBorder="1" applyAlignment="1">
      <alignment horizontal="left" vertical="center"/>
    </xf>
    <xf numFmtId="0" fontId="0" fillId="3" borderId="41" xfId="0" applyFill="1" applyBorder="1" applyAlignment="1">
      <alignment horizontal="left" vertical="center"/>
    </xf>
    <xf numFmtId="0" fontId="0" fillId="3" borderId="42" xfId="0" applyFill="1" applyBorder="1" applyAlignment="1">
      <alignment horizontal="left" vertical="center"/>
    </xf>
    <xf numFmtId="16" fontId="6" fillId="5" borderId="37" xfId="0" applyNumberFormat="1" applyFont="1" applyFill="1" applyBorder="1" applyAlignment="1">
      <alignment horizontal="left" vertical="center"/>
    </xf>
    <xf numFmtId="16" fontId="6" fillId="5" borderId="0" xfId="0" applyNumberFormat="1" applyFont="1" applyFill="1" applyAlignment="1">
      <alignment horizontal="left" vertical="center"/>
    </xf>
    <xf numFmtId="16" fontId="6" fillId="5" borderId="33" xfId="0" applyNumberFormat="1" applyFont="1" applyFill="1" applyBorder="1" applyAlignment="1">
      <alignment horizontal="left" vertical="center"/>
    </xf>
    <xf numFmtId="16" fontId="6" fillId="5" borderId="44" xfId="0" applyNumberFormat="1" applyFont="1" applyFill="1" applyBorder="1" applyAlignment="1">
      <alignment horizontal="left" vertical="center"/>
    </xf>
    <xf numFmtId="16" fontId="6" fillId="5" borderId="45" xfId="0" applyNumberFormat="1" applyFont="1" applyFill="1" applyBorder="1" applyAlignment="1">
      <alignment horizontal="left" vertical="center"/>
    </xf>
    <xf numFmtId="0" fontId="0" fillId="3" borderId="2" xfId="0" applyFill="1" applyBorder="1" applyAlignment="1">
      <alignment horizontal="left" vertical="center"/>
    </xf>
    <xf numFmtId="0" fontId="0" fillId="3" borderId="4" xfId="0" applyFill="1" applyBorder="1" applyAlignment="1">
      <alignment horizontal="left" vertical="center"/>
    </xf>
    <xf numFmtId="0" fontId="0" fillId="3" borderId="6" xfId="0" applyFill="1" applyBorder="1" applyAlignment="1">
      <alignment horizontal="left" vertical="center"/>
    </xf>
    <xf numFmtId="0" fontId="6" fillId="5" borderId="26" xfId="0" applyFont="1" applyFill="1" applyBorder="1" applyAlignment="1">
      <alignment horizontal="left"/>
    </xf>
    <xf numFmtId="0" fontId="6" fillId="5" borderId="27" xfId="0" applyFont="1" applyFill="1" applyBorder="1" applyAlignment="1">
      <alignment horizontal="left"/>
    </xf>
    <xf numFmtId="0" fontId="6" fillId="5" borderId="28" xfId="0" applyFont="1" applyFill="1" applyBorder="1" applyAlignment="1">
      <alignment horizontal="left"/>
    </xf>
    <xf numFmtId="0" fontId="26" fillId="5" borderId="16"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CDDA-459A-4544-8DC1-91F9CC62985B}">
  <dimension ref="A1:Q70"/>
  <sheetViews>
    <sheetView tabSelected="1" topLeftCell="A17" zoomScale="80" zoomScaleNormal="80" workbookViewId="0">
      <selection activeCell="H30" sqref="H30"/>
    </sheetView>
  </sheetViews>
  <sheetFormatPr defaultColWidth="8.81640625" defaultRowHeight="14.5"/>
  <cols>
    <col min="1" max="1" width="35" customWidth="1"/>
    <col min="2" max="2" width="41.26953125" customWidth="1"/>
    <col min="3" max="3" width="19" customWidth="1"/>
    <col min="4" max="4" width="23.7265625" customWidth="1"/>
    <col min="5" max="5" width="16.81640625" customWidth="1"/>
    <col min="6" max="6" width="20.81640625" customWidth="1"/>
    <col min="7" max="7" width="18.6328125" customWidth="1"/>
    <col min="8" max="8" width="24.26953125" customWidth="1"/>
    <col min="9" max="9" width="10.54296875" customWidth="1"/>
  </cols>
  <sheetData>
    <row r="1" spans="1:7">
      <c r="A1" s="17" t="s">
        <v>0</v>
      </c>
      <c r="B1" s="22" t="s">
        <v>1</v>
      </c>
      <c r="F1" s="71" t="s">
        <v>60</v>
      </c>
    </row>
    <row r="2" spans="1:7">
      <c r="A2" s="5"/>
      <c r="B2" s="51" t="s">
        <v>2</v>
      </c>
    </row>
    <row r="3" spans="1:7">
      <c r="A3" s="5"/>
      <c r="B3" s="51"/>
      <c r="F3" s="58"/>
    </row>
    <row r="4" spans="1:7" ht="15" thickBot="1">
      <c r="A4" s="37" t="s">
        <v>3</v>
      </c>
      <c r="B4" s="41"/>
    </row>
    <row r="5" spans="1:7">
      <c r="A5" s="6" t="s">
        <v>4</v>
      </c>
      <c r="B5" s="9" t="s">
        <v>5</v>
      </c>
      <c r="C5" s="18"/>
    </row>
    <row r="6" spans="1:7">
      <c r="A6" s="14" t="s">
        <v>6</v>
      </c>
      <c r="B6" s="12">
        <v>72</v>
      </c>
      <c r="C6" s="18"/>
    </row>
    <row r="7" spans="1:7">
      <c r="A7" s="14" t="s">
        <v>7</v>
      </c>
      <c r="B7" s="12">
        <v>25</v>
      </c>
      <c r="C7" s="18"/>
    </row>
    <row r="8" spans="1:7">
      <c r="A8" s="7" t="s">
        <v>8</v>
      </c>
      <c r="B8" s="11">
        <v>1.59</v>
      </c>
      <c r="C8" s="18"/>
    </row>
    <row r="9" spans="1:7">
      <c r="A9" s="13" t="s">
        <v>9</v>
      </c>
      <c r="B9" s="10">
        <v>3</v>
      </c>
    </row>
    <row r="10" spans="1:7" ht="18.649999999999999" customHeight="1">
      <c r="A10" s="13" t="s">
        <v>10</v>
      </c>
      <c r="B10" s="10">
        <f>1*B6</f>
        <v>72</v>
      </c>
      <c r="C10" s="23" t="s">
        <v>11</v>
      </c>
    </row>
    <row r="11" spans="1:7" ht="15" thickBot="1">
      <c r="A11" s="8" t="s">
        <v>12</v>
      </c>
      <c r="B11" s="15"/>
      <c r="C11" s="18"/>
    </row>
    <row r="12" spans="1:7">
      <c r="A12" s="5"/>
      <c r="B12" s="18"/>
      <c r="C12" s="18"/>
    </row>
    <row r="13" spans="1:7">
      <c r="A13" s="5"/>
      <c r="B13" s="18"/>
      <c r="C13" s="18"/>
    </row>
    <row r="14" spans="1:7">
      <c r="A14" s="37" t="s">
        <v>0</v>
      </c>
      <c r="B14" s="40"/>
      <c r="C14" s="40"/>
      <c r="D14" s="41"/>
      <c r="E14" s="41"/>
      <c r="F14" s="41"/>
      <c r="G14" s="41"/>
    </row>
    <row r="15" spans="1:7">
      <c r="A15" s="27" t="s">
        <v>13</v>
      </c>
      <c r="B15" s="27" t="s">
        <v>14</v>
      </c>
      <c r="C15" s="27" t="s">
        <v>15</v>
      </c>
      <c r="D15" s="26" t="s">
        <v>16</v>
      </c>
      <c r="E15" s="26" t="s">
        <v>17</v>
      </c>
      <c r="F15" s="26" t="s">
        <v>18</v>
      </c>
      <c r="G15" s="26" t="s">
        <v>19</v>
      </c>
    </row>
    <row r="16" spans="1:7" ht="15" thickBot="1">
      <c r="A16" s="150" t="s">
        <v>20</v>
      </c>
      <c r="B16" s="151"/>
      <c r="C16" s="151"/>
      <c r="D16" s="151"/>
      <c r="E16" s="151"/>
      <c r="F16" s="151"/>
      <c r="G16" s="152"/>
    </row>
    <row r="17" spans="1:7">
      <c r="A17" s="153" t="s">
        <v>62</v>
      </c>
      <c r="B17" s="91" t="s">
        <v>64</v>
      </c>
      <c r="C17" s="92" t="s">
        <v>65</v>
      </c>
      <c r="D17" s="92">
        <v>585</v>
      </c>
      <c r="E17" s="92">
        <v>53.5</v>
      </c>
      <c r="F17" s="92">
        <v>10</v>
      </c>
      <c r="G17" s="93">
        <v>36.5</v>
      </c>
    </row>
    <row r="18" spans="1:7" ht="15" thickBot="1">
      <c r="A18" s="154"/>
      <c r="B18" s="94" t="s">
        <v>66</v>
      </c>
      <c r="C18" s="95" t="s">
        <v>67</v>
      </c>
      <c r="D18" s="95">
        <v>148</v>
      </c>
      <c r="E18" s="95">
        <v>17.399999999999999</v>
      </c>
      <c r="F18" s="95">
        <v>1.8</v>
      </c>
      <c r="G18" s="96">
        <v>7.8</v>
      </c>
    </row>
    <row r="19" spans="1:7">
      <c r="A19" s="153" t="s">
        <v>63</v>
      </c>
      <c r="B19" s="91" t="s">
        <v>68</v>
      </c>
      <c r="C19" s="92" t="s">
        <v>69</v>
      </c>
      <c r="D19" s="92">
        <v>63</v>
      </c>
      <c r="E19" s="92">
        <v>4.8</v>
      </c>
      <c r="F19" s="92">
        <v>3.3</v>
      </c>
      <c r="G19" s="93">
        <v>3.4</v>
      </c>
    </row>
    <row r="20" spans="1:7" ht="15" thickBot="1">
      <c r="A20" s="154"/>
      <c r="B20" s="94" t="s">
        <v>70</v>
      </c>
      <c r="C20" s="95" t="s">
        <v>71</v>
      </c>
      <c r="D20" s="95">
        <v>197</v>
      </c>
      <c r="E20" s="95">
        <v>33.5</v>
      </c>
      <c r="F20" s="95">
        <v>2.9</v>
      </c>
      <c r="G20" s="96">
        <v>5.5</v>
      </c>
    </row>
    <row r="21" spans="1:7" ht="43.5">
      <c r="A21" s="153" t="s">
        <v>118</v>
      </c>
      <c r="B21" s="97" t="s">
        <v>124</v>
      </c>
      <c r="C21" s="92" t="s">
        <v>119</v>
      </c>
      <c r="D21" s="92">
        <v>1144</v>
      </c>
      <c r="E21" s="92">
        <v>133</v>
      </c>
      <c r="F21" s="92">
        <v>69</v>
      </c>
      <c r="G21" s="93">
        <v>36</v>
      </c>
    </row>
    <row r="22" spans="1:7" ht="43.5">
      <c r="A22" s="155"/>
      <c r="B22" s="98" t="s">
        <v>123</v>
      </c>
      <c r="C22" s="20" t="s">
        <v>121</v>
      </c>
      <c r="D22" s="20">
        <v>82</v>
      </c>
      <c r="E22" s="20">
        <v>14.6</v>
      </c>
      <c r="F22" s="20">
        <v>2.7</v>
      </c>
      <c r="G22" s="99">
        <v>1.2</v>
      </c>
    </row>
    <row r="23" spans="1:7" ht="15" thickBot="1">
      <c r="A23" s="154"/>
      <c r="B23" s="94" t="s">
        <v>122</v>
      </c>
      <c r="C23" s="95" t="s">
        <v>120</v>
      </c>
      <c r="D23" s="95">
        <v>22</v>
      </c>
      <c r="E23" s="95">
        <v>0</v>
      </c>
      <c r="F23" s="95">
        <v>0</v>
      </c>
      <c r="G23" s="96">
        <v>2.4</v>
      </c>
    </row>
    <row r="24" spans="1:7" ht="15" thickBot="1">
      <c r="A24" s="159" t="s">
        <v>21</v>
      </c>
      <c r="B24" s="160"/>
      <c r="C24" s="160"/>
      <c r="D24" s="160"/>
      <c r="E24" s="160"/>
      <c r="F24" s="160"/>
      <c r="G24" s="160"/>
    </row>
    <row r="25" spans="1:7" ht="43.5">
      <c r="A25" s="153" t="s">
        <v>153</v>
      </c>
      <c r="B25" s="97" t="s">
        <v>185</v>
      </c>
      <c r="C25" s="92" t="s">
        <v>154</v>
      </c>
      <c r="D25" s="92">
        <f>(D22/30)*75</f>
        <v>205</v>
      </c>
      <c r="E25" s="92">
        <f t="shared" ref="E25:F25" si="0">(E22/30)*75</f>
        <v>36.5</v>
      </c>
      <c r="F25" s="92">
        <f t="shared" si="0"/>
        <v>6.7500000000000009</v>
      </c>
      <c r="G25" s="93">
        <f>(G22/30)*75</f>
        <v>3</v>
      </c>
    </row>
    <row r="26" spans="1:7" ht="15" thickBot="1">
      <c r="A26" s="154"/>
      <c r="B26" s="94" t="s">
        <v>122</v>
      </c>
      <c r="C26" s="95" t="s">
        <v>155</v>
      </c>
      <c r="D26" s="95">
        <f>(D23/3)*6</f>
        <v>44</v>
      </c>
      <c r="E26" s="95">
        <f t="shared" ref="E26:G26" si="1">(E23/3)*6</f>
        <v>0</v>
      </c>
      <c r="F26" s="95">
        <f t="shared" si="1"/>
        <v>0</v>
      </c>
      <c r="G26" s="96">
        <f t="shared" si="1"/>
        <v>4.8</v>
      </c>
    </row>
    <row r="27" spans="1:7" ht="43.5">
      <c r="A27" s="153" t="s">
        <v>158</v>
      </c>
      <c r="B27" s="97" t="s">
        <v>124</v>
      </c>
      <c r="C27" s="92" t="s">
        <v>156</v>
      </c>
      <c r="D27" s="92">
        <f>(D21/500)*200</f>
        <v>457.59999999999997</v>
      </c>
      <c r="E27" s="92">
        <f t="shared" ref="E27:G27" si="2">(E21/500)*200</f>
        <v>53.2</v>
      </c>
      <c r="F27" s="92">
        <f t="shared" si="2"/>
        <v>27.6</v>
      </c>
      <c r="G27" s="93">
        <f t="shared" si="2"/>
        <v>14.399999999999999</v>
      </c>
    </row>
    <row r="28" spans="1:7">
      <c r="A28" s="155"/>
      <c r="B28" s="100" t="s">
        <v>68</v>
      </c>
      <c r="C28" s="20" t="s">
        <v>69</v>
      </c>
      <c r="D28" s="20">
        <v>63</v>
      </c>
      <c r="E28" s="20">
        <v>4.8</v>
      </c>
      <c r="F28" s="20">
        <v>3.3</v>
      </c>
      <c r="G28" s="99">
        <v>3.4</v>
      </c>
    </row>
    <row r="29" spans="1:7">
      <c r="A29" s="155"/>
      <c r="B29" s="100" t="s">
        <v>162</v>
      </c>
      <c r="C29" s="20" t="s">
        <v>192</v>
      </c>
      <c r="D29" s="20">
        <v>40.5</v>
      </c>
      <c r="E29" s="20">
        <v>9.8000000000000007</v>
      </c>
      <c r="F29" s="20">
        <v>0</v>
      </c>
      <c r="G29" s="99">
        <v>0</v>
      </c>
    </row>
    <row r="30" spans="1:7" ht="15" thickBot="1">
      <c r="A30" s="154"/>
      <c r="B30" s="94" t="s">
        <v>164</v>
      </c>
      <c r="C30" s="95" t="s">
        <v>163</v>
      </c>
      <c r="D30" s="95">
        <v>0</v>
      </c>
      <c r="E30" s="95">
        <v>0</v>
      </c>
      <c r="F30" s="95">
        <v>0</v>
      </c>
      <c r="G30" s="96">
        <v>0</v>
      </c>
    </row>
    <row r="31" spans="1:7">
      <c r="A31" s="153" t="s">
        <v>186</v>
      </c>
      <c r="B31" s="91" t="s">
        <v>188</v>
      </c>
      <c r="C31" s="92" t="s">
        <v>189</v>
      </c>
      <c r="D31" s="92">
        <v>430</v>
      </c>
      <c r="E31" s="92">
        <v>2</v>
      </c>
      <c r="F31" s="92">
        <v>45</v>
      </c>
      <c r="G31" s="93">
        <v>28</v>
      </c>
    </row>
    <row r="32" spans="1:7">
      <c r="A32" s="155"/>
      <c r="B32" s="100" t="s">
        <v>187</v>
      </c>
      <c r="C32" s="20" t="s">
        <v>190</v>
      </c>
      <c r="D32" s="20">
        <v>330</v>
      </c>
      <c r="E32" s="20">
        <v>49</v>
      </c>
      <c r="F32" s="20">
        <v>2</v>
      </c>
      <c r="G32" s="99">
        <v>13</v>
      </c>
    </row>
    <row r="33" spans="1:17" ht="15" thickBot="1">
      <c r="A33" s="154"/>
      <c r="B33" s="100" t="s">
        <v>191</v>
      </c>
      <c r="C33" s="20" t="s">
        <v>193</v>
      </c>
      <c r="D33" s="20">
        <v>495</v>
      </c>
      <c r="E33" s="20">
        <v>67.5</v>
      </c>
      <c r="F33" s="20">
        <v>7.4</v>
      </c>
      <c r="G33" s="99">
        <v>19.5</v>
      </c>
    </row>
    <row r="34" spans="1:17" ht="15" thickBot="1">
      <c r="A34" s="161" t="s">
        <v>22</v>
      </c>
      <c r="B34" s="162"/>
      <c r="C34" s="162"/>
      <c r="D34" s="162"/>
      <c r="E34" s="162"/>
      <c r="F34" s="162"/>
      <c r="G34" s="163"/>
    </row>
    <row r="35" spans="1:17" ht="15" thickBot="1">
      <c r="A35" s="101" t="s">
        <v>169</v>
      </c>
      <c r="B35" s="102" t="s">
        <v>168</v>
      </c>
      <c r="C35" s="102" t="s">
        <v>194</v>
      </c>
      <c r="D35" s="102">
        <v>235</v>
      </c>
      <c r="E35" s="102">
        <v>28.5</v>
      </c>
      <c r="F35" s="102">
        <v>8.9</v>
      </c>
      <c r="G35" s="103">
        <v>9.5</v>
      </c>
    </row>
    <row r="36" spans="1:17">
      <c r="A36" s="164" t="s">
        <v>170</v>
      </c>
      <c r="B36" s="104" t="s">
        <v>195</v>
      </c>
      <c r="C36" s="92" t="s">
        <v>156</v>
      </c>
      <c r="D36" s="92">
        <v>260</v>
      </c>
      <c r="E36" s="92">
        <v>57.4</v>
      </c>
      <c r="F36" s="92">
        <v>4.5999999999999996</v>
      </c>
      <c r="G36" s="93">
        <v>0.4</v>
      </c>
      <c r="N36" s="65"/>
      <c r="O36" s="64"/>
      <c r="P36" s="64"/>
      <c r="Q36" s="64"/>
    </row>
    <row r="37" spans="1:17" s="4" customFormat="1">
      <c r="A37" s="165"/>
      <c r="B37" s="63" t="s">
        <v>171</v>
      </c>
      <c r="C37" s="63" t="s">
        <v>196</v>
      </c>
      <c r="D37" s="66">
        <v>443</v>
      </c>
      <c r="E37" s="20">
        <v>43.5</v>
      </c>
      <c r="F37" s="20">
        <v>21.8</v>
      </c>
      <c r="G37" s="99">
        <v>19.3</v>
      </c>
    </row>
    <row r="38" spans="1:17">
      <c r="A38" s="165"/>
      <c r="B38" s="20" t="s">
        <v>172</v>
      </c>
      <c r="C38" s="20" t="s">
        <v>197</v>
      </c>
      <c r="D38" s="20">
        <v>123</v>
      </c>
      <c r="E38" s="20">
        <v>0.6</v>
      </c>
      <c r="F38" s="20">
        <v>10.9</v>
      </c>
      <c r="G38" s="99">
        <v>8.4</v>
      </c>
    </row>
    <row r="39" spans="1:17" ht="15" thickBot="1">
      <c r="A39" s="166"/>
      <c r="B39" s="105" t="s">
        <v>198</v>
      </c>
      <c r="C39" s="95" t="s">
        <v>121</v>
      </c>
      <c r="D39" s="95">
        <v>4</v>
      </c>
      <c r="E39" s="95">
        <v>0.6</v>
      </c>
      <c r="F39" s="95">
        <v>0.1</v>
      </c>
      <c r="G39" s="96">
        <v>0.1</v>
      </c>
    </row>
    <row r="40" spans="1:17">
      <c r="A40" s="156" t="s">
        <v>211</v>
      </c>
      <c r="B40" s="106" t="s">
        <v>199</v>
      </c>
      <c r="C40" s="92">
        <v>1</v>
      </c>
      <c r="D40" s="92">
        <v>434</v>
      </c>
      <c r="E40" s="92">
        <v>43.2</v>
      </c>
      <c r="F40" s="92">
        <v>28.9</v>
      </c>
      <c r="G40" s="93">
        <v>18.3</v>
      </c>
    </row>
    <row r="41" spans="1:17">
      <c r="A41" s="157"/>
      <c r="B41" s="63" t="s">
        <v>200</v>
      </c>
      <c r="C41" s="20">
        <v>1</v>
      </c>
      <c r="D41" s="20">
        <v>547</v>
      </c>
      <c r="E41" s="20">
        <v>43.8</v>
      </c>
      <c r="F41" s="20">
        <v>24.8</v>
      </c>
      <c r="G41" s="99">
        <v>29.1</v>
      </c>
    </row>
    <row r="42" spans="1:17" ht="15" thickBot="1">
      <c r="A42" s="158"/>
      <c r="B42" s="105" t="s">
        <v>201</v>
      </c>
      <c r="C42" s="95">
        <v>1</v>
      </c>
      <c r="D42" s="95">
        <v>366</v>
      </c>
      <c r="E42" s="95">
        <v>17.600000000000001</v>
      </c>
      <c r="F42" s="95">
        <v>3.3</v>
      </c>
      <c r="G42" s="96">
        <v>32</v>
      </c>
    </row>
    <row r="43" spans="1:17">
      <c r="A43" s="5"/>
      <c r="B43" s="18"/>
      <c r="C43" s="18"/>
    </row>
    <row r="44" spans="1:17" ht="15" thickBot="1">
      <c r="A44" s="5"/>
      <c r="B44" s="18"/>
      <c r="C44" s="18"/>
      <c r="D44" s="67"/>
      <c r="E44" s="60"/>
      <c r="F44" s="60"/>
      <c r="G44" s="60"/>
    </row>
    <row r="45" spans="1:17" ht="15" thickBot="1">
      <c r="A45" s="76" t="s">
        <v>23</v>
      </c>
      <c r="B45" s="77"/>
      <c r="C45" s="78"/>
      <c r="D45" s="78"/>
      <c r="E45" s="79"/>
      <c r="F45" s="46"/>
    </row>
    <row r="46" spans="1:17" ht="15" thickBot="1">
      <c r="A46" s="24" t="s">
        <v>24</v>
      </c>
      <c r="B46" s="29" t="s">
        <v>25</v>
      </c>
      <c r="C46" s="25" t="s">
        <v>18</v>
      </c>
      <c r="D46" s="42" t="s">
        <v>26</v>
      </c>
      <c r="E46" s="80" t="s">
        <v>27</v>
      </c>
      <c r="F46" s="73"/>
    </row>
    <row r="47" spans="1:17">
      <c r="A47" s="30" t="s">
        <v>20</v>
      </c>
      <c r="B47" s="54"/>
      <c r="C47" s="54"/>
      <c r="D47" s="54"/>
      <c r="E47" s="54"/>
      <c r="F47" s="74"/>
    </row>
    <row r="48" spans="1:17">
      <c r="A48" s="31" t="s">
        <v>21</v>
      </c>
      <c r="B48" s="55"/>
      <c r="C48" s="55"/>
      <c r="D48" s="55"/>
      <c r="E48" s="55"/>
      <c r="F48" s="46"/>
    </row>
    <row r="49" spans="1:8">
      <c r="A49" s="31" t="s">
        <v>22</v>
      </c>
      <c r="B49" s="55"/>
      <c r="C49" s="55"/>
      <c r="D49" s="55"/>
      <c r="E49" s="55"/>
      <c r="F49" s="46"/>
    </row>
    <row r="50" spans="1:8" ht="25" customHeight="1">
      <c r="A50" s="32" t="s">
        <v>28</v>
      </c>
      <c r="B50" s="34"/>
      <c r="C50" s="34"/>
      <c r="D50" s="43"/>
      <c r="E50" s="34"/>
      <c r="F50" s="47"/>
      <c r="H50" s="59"/>
    </row>
    <row r="51" spans="1:8">
      <c r="A51" s="32" t="s">
        <v>29</v>
      </c>
      <c r="B51" s="35"/>
      <c r="C51" s="35"/>
      <c r="D51" s="44"/>
      <c r="E51" s="35"/>
      <c r="F51" s="47"/>
    </row>
    <row r="52" spans="1:8" ht="95" customHeight="1" thickBot="1">
      <c r="A52" s="33" t="s">
        <v>30</v>
      </c>
      <c r="B52" s="36"/>
      <c r="C52" s="36"/>
      <c r="D52" s="45"/>
      <c r="E52" s="36"/>
      <c r="F52" s="75" t="s">
        <v>52</v>
      </c>
      <c r="G52" s="62" t="s">
        <v>59</v>
      </c>
      <c r="H52" s="72" t="s">
        <v>61</v>
      </c>
    </row>
    <row r="53" spans="1:8">
      <c r="B53" s="19"/>
      <c r="C53" s="19"/>
      <c r="D53" s="19"/>
      <c r="E53" s="19"/>
      <c r="F53" s="19"/>
    </row>
    <row r="54" spans="1:8">
      <c r="B54" s="16"/>
    </row>
    <row r="55" spans="1:8" ht="15" thickBot="1">
      <c r="A55" s="37" t="s">
        <v>31</v>
      </c>
      <c r="B55" s="39"/>
      <c r="G55" s="19"/>
    </row>
    <row r="56" spans="1:8">
      <c r="A56" s="1" t="s">
        <v>32</v>
      </c>
      <c r="B56" s="52"/>
    </row>
    <row r="57" spans="1:8" ht="15" thickBot="1">
      <c r="A57" s="3" t="s">
        <v>33</v>
      </c>
      <c r="B57" s="53"/>
      <c r="C57" s="51" t="s">
        <v>34</v>
      </c>
    </row>
    <row r="59" spans="1:8" ht="15" thickBot="1">
      <c r="A59" s="37" t="s">
        <v>35</v>
      </c>
      <c r="B59" s="38"/>
    </row>
    <row r="60" spans="1:8">
      <c r="A60" s="1" t="s">
        <v>36</v>
      </c>
      <c r="B60" s="28"/>
      <c r="G60" s="22"/>
    </row>
    <row r="61" spans="1:8">
      <c r="A61" s="2" t="s">
        <v>37</v>
      </c>
      <c r="B61" s="21"/>
      <c r="G61" s="22"/>
    </row>
    <row r="62" spans="1:8">
      <c r="A62" s="2" t="s">
        <v>38</v>
      </c>
      <c r="B62" s="21"/>
      <c r="G62" s="22"/>
    </row>
    <row r="63" spans="1:8" ht="15" thickBot="1">
      <c r="A63" s="3" t="s">
        <v>39</v>
      </c>
      <c r="B63" s="48"/>
      <c r="C63" s="22" t="s">
        <v>51</v>
      </c>
    </row>
    <row r="65" spans="2:7">
      <c r="B65" s="22"/>
      <c r="C65" s="22"/>
      <c r="D65" s="22"/>
    </row>
    <row r="66" spans="2:7" ht="18.5">
      <c r="B66" s="56"/>
      <c r="C66" s="57"/>
      <c r="D66" s="4"/>
    </row>
    <row r="68" spans="2:7">
      <c r="B68" s="65"/>
      <c r="C68" s="65"/>
      <c r="D68" s="65"/>
      <c r="E68" s="64"/>
      <c r="F68" s="64"/>
      <c r="G68" s="64"/>
    </row>
    <row r="69" spans="2:7">
      <c r="B69" s="65"/>
      <c r="C69" s="65"/>
      <c r="D69" s="65"/>
      <c r="E69" s="64"/>
      <c r="F69" s="64"/>
      <c r="G69" s="64"/>
    </row>
    <row r="70" spans="2:7">
      <c r="B70" s="65"/>
      <c r="C70" s="65"/>
      <c r="D70" s="65"/>
      <c r="E70" s="64"/>
      <c r="F70" s="64"/>
      <c r="G70" s="64"/>
    </row>
  </sheetData>
  <mergeCells count="11">
    <mergeCell ref="A40:A42"/>
    <mergeCell ref="A21:A23"/>
    <mergeCell ref="A19:A20"/>
    <mergeCell ref="A24:G24"/>
    <mergeCell ref="A34:G34"/>
    <mergeCell ref="A36:A39"/>
    <mergeCell ref="A16:G16"/>
    <mergeCell ref="A17:A18"/>
    <mergeCell ref="A31:A33"/>
    <mergeCell ref="A27:A30"/>
    <mergeCell ref="A25:A2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8E155-F9CB-4F0D-8193-B997976B19E3}">
  <dimension ref="A1:M105"/>
  <sheetViews>
    <sheetView zoomScale="80" zoomScaleNormal="80" workbookViewId="0">
      <selection activeCell="G109" sqref="G109"/>
    </sheetView>
  </sheetViews>
  <sheetFormatPr defaultColWidth="8.81640625" defaultRowHeight="14.5"/>
  <cols>
    <col min="1" max="1" width="35.90625" customWidth="1"/>
    <col min="2" max="2" width="53.81640625" customWidth="1"/>
    <col min="3" max="3" width="23.26953125" style="86" customWidth="1"/>
    <col min="4" max="4" width="10.26953125" customWidth="1"/>
    <col min="5" max="5" width="21.1796875" customWidth="1"/>
    <col min="6" max="6" width="13.81640625" customWidth="1"/>
    <col min="7" max="7" width="33.08984375" customWidth="1"/>
    <col min="8" max="8" width="10.1796875" bestFit="1" customWidth="1"/>
    <col min="10" max="10" width="10.36328125" bestFit="1" customWidth="1"/>
  </cols>
  <sheetData>
    <row r="1" spans="1:13">
      <c r="A1" s="17" t="s">
        <v>40</v>
      </c>
      <c r="B1" s="22" t="s">
        <v>1</v>
      </c>
    </row>
    <row r="2" spans="1:13">
      <c r="A2" s="5"/>
      <c r="B2" s="51" t="s">
        <v>2</v>
      </c>
    </row>
    <row r="3" spans="1:13">
      <c r="A3" s="5"/>
      <c r="B3" s="22"/>
      <c r="C3" s="87"/>
    </row>
    <row r="4" spans="1:13" ht="15" thickBot="1">
      <c r="A4" s="37" t="s">
        <v>3</v>
      </c>
      <c r="B4" s="41"/>
    </row>
    <row r="5" spans="1:13">
      <c r="A5" s="6" t="s">
        <v>4</v>
      </c>
      <c r="B5" s="9" t="s">
        <v>5</v>
      </c>
    </row>
    <row r="6" spans="1:13">
      <c r="A6" s="14" t="s">
        <v>6</v>
      </c>
      <c r="B6" s="12">
        <v>72</v>
      </c>
    </row>
    <row r="7" spans="1:13">
      <c r="A7" s="14" t="s">
        <v>7</v>
      </c>
      <c r="B7" s="12">
        <v>25</v>
      </c>
    </row>
    <row r="8" spans="1:13">
      <c r="A8" s="7" t="s">
        <v>8</v>
      </c>
      <c r="B8" s="11">
        <v>1.59</v>
      </c>
    </row>
    <row r="9" spans="1:13">
      <c r="A9" s="13" t="s">
        <v>9</v>
      </c>
      <c r="B9" s="10">
        <v>3</v>
      </c>
    </row>
    <row r="10" spans="1:13" ht="18.649999999999999" customHeight="1">
      <c r="A10" s="13" t="s">
        <v>10</v>
      </c>
      <c r="B10" s="10">
        <f>1*B6</f>
        <v>72</v>
      </c>
      <c r="C10" s="85" t="s">
        <v>41</v>
      </c>
    </row>
    <row r="11" spans="1:13" ht="15" thickBot="1">
      <c r="A11" s="8" t="s">
        <v>12</v>
      </c>
      <c r="B11" s="15"/>
    </row>
    <row r="12" spans="1:13">
      <c r="A12" s="5"/>
      <c r="B12" s="18"/>
    </row>
    <row r="13" spans="1:13" ht="15" thickBot="1">
      <c r="A13" s="37" t="s">
        <v>40</v>
      </c>
      <c r="B13" s="41"/>
      <c r="C13" s="88"/>
      <c r="D13" s="41"/>
      <c r="E13" s="41"/>
      <c r="F13" s="41"/>
      <c r="G13" s="41"/>
    </row>
    <row r="14" spans="1:13" s="4" customFormat="1" ht="15" thickBot="1">
      <c r="A14" s="107" t="s">
        <v>13</v>
      </c>
      <c r="B14" s="108" t="s">
        <v>42</v>
      </c>
      <c r="C14" s="89" t="s">
        <v>43</v>
      </c>
      <c r="D14" s="108" t="s">
        <v>44</v>
      </c>
      <c r="E14" s="108" t="s">
        <v>45</v>
      </c>
      <c r="F14" s="109" t="s">
        <v>46</v>
      </c>
      <c r="G14" s="110" t="s">
        <v>47</v>
      </c>
    </row>
    <row r="15" spans="1:13" s="4" customFormat="1" ht="19" thickBot="1">
      <c r="A15" s="167" t="s">
        <v>20</v>
      </c>
      <c r="B15" s="168"/>
      <c r="C15" s="168"/>
      <c r="D15" s="168"/>
      <c r="E15" s="168"/>
      <c r="F15" s="168"/>
      <c r="G15" s="169"/>
      <c r="H15" s="49"/>
      <c r="I15"/>
      <c r="J15" s="49"/>
      <c r="K15" s="49"/>
      <c r="L15"/>
      <c r="M15"/>
    </row>
    <row r="16" spans="1:13" ht="18.5">
      <c r="A16" s="111" t="s">
        <v>72</v>
      </c>
      <c r="B16" s="112" t="s">
        <v>73</v>
      </c>
      <c r="C16" s="113" t="s">
        <v>125</v>
      </c>
      <c r="D16" s="114">
        <v>1</v>
      </c>
      <c r="E16" s="114">
        <v>395</v>
      </c>
      <c r="F16" s="115">
        <f>E16/60</f>
        <v>6.583333333333333</v>
      </c>
      <c r="G16" s="116"/>
      <c r="H16" s="49"/>
      <c r="J16" s="49"/>
      <c r="K16" s="49"/>
    </row>
    <row r="17" spans="1:13" ht="18.5">
      <c r="A17" s="117" t="s">
        <v>74</v>
      </c>
      <c r="B17" s="118" t="s">
        <v>75</v>
      </c>
      <c r="C17" s="119">
        <v>13009</v>
      </c>
      <c r="D17" s="120">
        <v>2.2999999999999998</v>
      </c>
      <c r="E17" s="120">
        <v>5</v>
      </c>
      <c r="F17" s="121">
        <f t="shared" ref="F17:F47" si="0">E17/60</f>
        <v>8.3333333333333329E-2</v>
      </c>
      <c r="G17" s="122"/>
      <c r="H17" s="49"/>
      <c r="J17" s="49"/>
      <c r="K17" s="49"/>
    </row>
    <row r="18" spans="1:13" ht="18.5">
      <c r="A18" s="117" t="s">
        <v>76</v>
      </c>
      <c r="B18" s="123" t="s">
        <v>77</v>
      </c>
      <c r="C18" s="119" t="s">
        <v>126</v>
      </c>
      <c r="D18" s="120">
        <v>1</v>
      </c>
      <c r="E18" s="120">
        <v>110</v>
      </c>
      <c r="F18" s="121">
        <f t="shared" si="0"/>
        <v>1.8333333333333333</v>
      </c>
      <c r="G18" s="122"/>
      <c r="I18" s="4" t="s">
        <v>53</v>
      </c>
      <c r="J18" s="49"/>
      <c r="K18" s="49"/>
    </row>
    <row r="19" spans="1:13" ht="18.5">
      <c r="A19" s="117" t="s">
        <v>78</v>
      </c>
      <c r="B19" s="118" t="s">
        <v>79</v>
      </c>
      <c r="C19" s="124">
        <v>13040</v>
      </c>
      <c r="D19" s="120">
        <v>2</v>
      </c>
      <c r="E19" s="120">
        <v>15</v>
      </c>
      <c r="F19" s="121">
        <f t="shared" si="0"/>
        <v>0.25</v>
      </c>
      <c r="G19" s="122"/>
      <c r="I19" s="68" t="s">
        <v>54</v>
      </c>
      <c r="J19" s="69"/>
      <c r="K19" s="69"/>
      <c r="L19" s="49"/>
      <c r="M19" s="49"/>
    </row>
    <row r="20" spans="1:13">
      <c r="A20" s="117" t="s">
        <v>80</v>
      </c>
      <c r="B20" s="118" t="s">
        <v>81</v>
      </c>
      <c r="C20" s="119" t="s">
        <v>127</v>
      </c>
      <c r="D20" s="120">
        <v>2</v>
      </c>
      <c r="E20" s="120">
        <v>5</v>
      </c>
      <c r="F20" s="121">
        <f t="shared" si="0"/>
        <v>8.3333333333333329E-2</v>
      </c>
      <c r="G20" s="122"/>
      <c r="I20" s="61" t="s">
        <v>55</v>
      </c>
    </row>
    <row r="21" spans="1:13">
      <c r="A21" s="117" t="s">
        <v>82</v>
      </c>
      <c r="B21" s="118" t="s">
        <v>83</v>
      </c>
      <c r="C21" s="119" t="s">
        <v>129</v>
      </c>
      <c r="D21" s="120">
        <v>2.2999999999999998</v>
      </c>
      <c r="E21" s="120">
        <v>10</v>
      </c>
      <c r="F21" s="121">
        <f t="shared" si="0"/>
        <v>0.16666666666666666</v>
      </c>
      <c r="G21" s="122"/>
      <c r="I21" s="70" t="s">
        <v>56</v>
      </c>
    </row>
    <row r="22" spans="1:13">
      <c r="A22" s="117" t="s">
        <v>84</v>
      </c>
      <c r="B22" s="118" t="s">
        <v>85</v>
      </c>
      <c r="C22" s="124">
        <v>13035</v>
      </c>
      <c r="D22" s="120">
        <v>2</v>
      </c>
      <c r="E22" s="120">
        <v>15</v>
      </c>
      <c r="F22" s="121">
        <f t="shared" si="0"/>
        <v>0.25</v>
      </c>
      <c r="G22" s="122"/>
      <c r="I22" s="70" t="s">
        <v>57</v>
      </c>
    </row>
    <row r="23" spans="1:13">
      <c r="A23" s="117" t="s">
        <v>86</v>
      </c>
      <c r="B23" s="118" t="s">
        <v>87</v>
      </c>
      <c r="C23" s="124">
        <v>11582</v>
      </c>
      <c r="D23" s="120">
        <v>1.3</v>
      </c>
      <c r="E23" s="120">
        <v>30</v>
      </c>
      <c r="F23" s="121">
        <f t="shared" si="0"/>
        <v>0.5</v>
      </c>
      <c r="G23" s="122"/>
      <c r="I23" s="70" t="s">
        <v>58</v>
      </c>
    </row>
    <row r="24" spans="1:13">
      <c r="A24" s="117" t="s">
        <v>88</v>
      </c>
      <c r="B24" s="118" t="s">
        <v>89</v>
      </c>
      <c r="C24" s="119" t="s">
        <v>129</v>
      </c>
      <c r="D24" s="120">
        <v>2.2999999999999998</v>
      </c>
      <c r="E24" s="120">
        <v>10</v>
      </c>
      <c r="F24" s="121">
        <f t="shared" si="0"/>
        <v>0.16666666666666666</v>
      </c>
      <c r="G24" s="122"/>
    </row>
    <row r="25" spans="1:13">
      <c r="A25" s="117" t="s">
        <v>90</v>
      </c>
      <c r="B25" s="118" t="s">
        <v>87</v>
      </c>
      <c r="C25" s="124">
        <v>11582</v>
      </c>
      <c r="D25" s="120">
        <v>1.3</v>
      </c>
      <c r="E25" s="120">
        <v>15</v>
      </c>
      <c r="F25" s="121">
        <f t="shared" si="0"/>
        <v>0.25</v>
      </c>
      <c r="G25" s="122"/>
    </row>
    <row r="26" spans="1:13">
      <c r="A26" s="117" t="s">
        <v>91</v>
      </c>
      <c r="B26" s="118" t="s">
        <v>75</v>
      </c>
      <c r="C26" s="119">
        <v>13009</v>
      </c>
      <c r="D26" s="120">
        <v>2.2999999999999998</v>
      </c>
      <c r="E26" s="120">
        <v>5</v>
      </c>
      <c r="F26" s="121">
        <f t="shared" si="0"/>
        <v>8.3333333333333329E-2</v>
      </c>
      <c r="G26" s="122"/>
    </row>
    <row r="27" spans="1:13">
      <c r="A27" s="117" t="s">
        <v>92</v>
      </c>
      <c r="B27" s="118" t="s">
        <v>87</v>
      </c>
      <c r="C27" s="124">
        <v>11582</v>
      </c>
      <c r="D27" s="120">
        <v>1.3</v>
      </c>
      <c r="E27" s="120">
        <f>60+45</f>
        <v>105</v>
      </c>
      <c r="F27" s="121">
        <f t="shared" si="0"/>
        <v>1.75</v>
      </c>
      <c r="G27" s="122"/>
    </row>
    <row r="28" spans="1:13">
      <c r="A28" s="117" t="s">
        <v>93</v>
      </c>
      <c r="B28" s="118" t="s">
        <v>94</v>
      </c>
      <c r="C28" s="124">
        <v>11791</v>
      </c>
      <c r="D28" s="120">
        <v>2</v>
      </c>
      <c r="E28" s="120">
        <v>5</v>
      </c>
      <c r="F28" s="121">
        <f t="shared" si="0"/>
        <v>8.3333333333333329E-2</v>
      </c>
      <c r="G28" s="122"/>
    </row>
    <row r="29" spans="1:13">
      <c r="A29" s="117" t="s">
        <v>95</v>
      </c>
      <c r="B29" s="118" t="s">
        <v>87</v>
      </c>
      <c r="C29" s="124">
        <v>11582</v>
      </c>
      <c r="D29" s="120">
        <v>1.3</v>
      </c>
      <c r="E29" s="120">
        <v>120</v>
      </c>
      <c r="F29" s="121">
        <f t="shared" si="0"/>
        <v>2</v>
      </c>
      <c r="G29" s="122"/>
    </row>
    <row r="30" spans="1:13">
      <c r="A30" s="117" t="s">
        <v>96</v>
      </c>
      <c r="B30" s="118" t="s">
        <v>97</v>
      </c>
      <c r="C30" s="119" t="s">
        <v>131</v>
      </c>
      <c r="D30" s="120">
        <v>1.3</v>
      </c>
      <c r="E30" s="120">
        <v>35</v>
      </c>
      <c r="F30" s="121">
        <f t="shared" si="0"/>
        <v>0.58333333333333337</v>
      </c>
      <c r="G30" s="122"/>
    </row>
    <row r="31" spans="1:13" ht="18.5">
      <c r="A31" s="117" t="s">
        <v>98</v>
      </c>
      <c r="B31" s="118" t="s">
        <v>87</v>
      </c>
      <c r="C31" s="124">
        <v>11582</v>
      </c>
      <c r="D31" s="120">
        <v>1.3</v>
      </c>
      <c r="E31" s="120">
        <v>50</v>
      </c>
      <c r="F31" s="121">
        <f t="shared" si="0"/>
        <v>0.83333333333333337</v>
      </c>
      <c r="G31" s="122"/>
      <c r="H31" s="16"/>
      <c r="J31" s="49"/>
      <c r="K31" s="49"/>
    </row>
    <row r="32" spans="1:13" ht="18.5">
      <c r="A32" s="117" t="s">
        <v>99</v>
      </c>
      <c r="B32" s="118" t="s">
        <v>100</v>
      </c>
      <c r="C32" s="119" t="s">
        <v>129</v>
      </c>
      <c r="D32" s="120">
        <v>2.2999999999999998</v>
      </c>
      <c r="E32" s="120">
        <v>10</v>
      </c>
      <c r="F32" s="121">
        <f t="shared" si="0"/>
        <v>0.16666666666666666</v>
      </c>
      <c r="G32" s="122"/>
      <c r="H32" s="16"/>
      <c r="J32" s="49"/>
      <c r="K32" s="49"/>
    </row>
    <row r="33" spans="1:11" ht="18.5">
      <c r="A33" s="117" t="s">
        <v>101</v>
      </c>
      <c r="B33" s="118" t="s">
        <v>81</v>
      </c>
      <c r="C33" s="124">
        <v>13020</v>
      </c>
      <c r="D33" s="120">
        <v>2.8</v>
      </c>
      <c r="E33" s="120">
        <v>10</v>
      </c>
      <c r="F33" s="121">
        <f t="shared" si="0"/>
        <v>0.16666666666666666</v>
      </c>
      <c r="G33" s="122"/>
      <c r="H33" s="16"/>
      <c r="J33" s="82"/>
      <c r="K33" s="49"/>
    </row>
    <row r="34" spans="1:11" ht="18.5">
      <c r="A34" s="117" t="s">
        <v>102</v>
      </c>
      <c r="B34" s="123" t="s">
        <v>103</v>
      </c>
      <c r="C34" s="124">
        <v>17165</v>
      </c>
      <c r="D34" s="120">
        <v>3</v>
      </c>
      <c r="E34" s="120">
        <v>10</v>
      </c>
      <c r="F34" s="121">
        <f t="shared" si="0"/>
        <v>0.16666666666666666</v>
      </c>
      <c r="G34" s="122"/>
      <c r="H34" s="16"/>
      <c r="J34" s="82"/>
      <c r="K34" s="49"/>
    </row>
    <row r="35" spans="1:11" ht="18.5">
      <c r="A35" s="117" t="s">
        <v>108</v>
      </c>
      <c r="B35" s="118" t="s">
        <v>130</v>
      </c>
      <c r="C35" s="119" t="s">
        <v>131</v>
      </c>
      <c r="D35" s="120">
        <v>1.3</v>
      </c>
      <c r="E35" s="120">
        <v>25</v>
      </c>
      <c r="F35" s="121">
        <f t="shared" si="0"/>
        <v>0.41666666666666669</v>
      </c>
      <c r="G35" s="122"/>
      <c r="H35" s="16"/>
      <c r="I35" s="16"/>
      <c r="J35" s="82"/>
      <c r="K35" s="49"/>
    </row>
    <row r="36" spans="1:11" ht="18.5">
      <c r="A36" s="117" t="s">
        <v>109</v>
      </c>
      <c r="B36" s="118" t="s">
        <v>104</v>
      </c>
      <c r="C36" s="124">
        <v>17165</v>
      </c>
      <c r="D36" s="120">
        <v>3</v>
      </c>
      <c r="E36" s="120">
        <v>20</v>
      </c>
      <c r="F36" s="121">
        <f t="shared" si="0"/>
        <v>0.33333333333333331</v>
      </c>
      <c r="G36" s="122"/>
      <c r="H36" s="16"/>
      <c r="I36" s="16"/>
      <c r="J36" s="82"/>
      <c r="K36" s="49"/>
    </row>
    <row r="37" spans="1:11" ht="18.5">
      <c r="A37" s="117" t="s">
        <v>105</v>
      </c>
      <c r="B37" s="118" t="s">
        <v>106</v>
      </c>
      <c r="C37" s="119" t="s">
        <v>129</v>
      </c>
      <c r="D37" s="120">
        <v>2.2999999999999998</v>
      </c>
      <c r="E37" s="120">
        <v>35</v>
      </c>
      <c r="F37" s="121">
        <f t="shared" si="0"/>
        <v>0.58333333333333337</v>
      </c>
      <c r="G37" s="122"/>
      <c r="H37" s="16"/>
      <c r="I37" s="16"/>
      <c r="J37" s="82"/>
      <c r="K37" s="49"/>
    </row>
    <row r="38" spans="1:11" ht="18.5">
      <c r="A38" s="117" t="s">
        <v>107</v>
      </c>
      <c r="B38" s="118" t="s">
        <v>87</v>
      </c>
      <c r="C38" s="124">
        <v>11582</v>
      </c>
      <c r="D38" s="120">
        <v>1.3</v>
      </c>
      <c r="E38" s="120">
        <v>15</v>
      </c>
      <c r="F38" s="121">
        <f t="shared" si="0"/>
        <v>0.25</v>
      </c>
      <c r="G38" s="122"/>
      <c r="H38" s="16"/>
      <c r="I38" s="16"/>
      <c r="J38" s="82"/>
      <c r="K38" s="49"/>
    </row>
    <row r="39" spans="1:11" ht="18.5">
      <c r="A39" s="117" t="s">
        <v>110</v>
      </c>
      <c r="B39" s="118" t="s">
        <v>184</v>
      </c>
      <c r="C39" s="119" t="s">
        <v>132</v>
      </c>
      <c r="D39" s="120">
        <v>3.5</v>
      </c>
      <c r="E39" s="120">
        <v>25</v>
      </c>
      <c r="F39" s="121">
        <f t="shared" si="0"/>
        <v>0.41666666666666669</v>
      </c>
      <c r="G39" s="122"/>
      <c r="H39" s="16"/>
      <c r="I39" s="16"/>
      <c r="J39" s="82"/>
      <c r="K39" s="49"/>
    </row>
    <row r="40" spans="1:11" ht="18.5">
      <c r="A40" s="117" t="s">
        <v>111</v>
      </c>
      <c r="B40" s="118" t="s">
        <v>112</v>
      </c>
      <c r="C40" s="124">
        <v>13050</v>
      </c>
      <c r="D40" s="120">
        <v>2</v>
      </c>
      <c r="E40" s="120">
        <v>10</v>
      </c>
      <c r="F40" s="121">
        <f t="shared" si="0"/>
        <v>0.16666666666666666</v>
      </c>
      <c r="G40" s="122"/>
      <c r="H40" s="16"/>
      <c r="I40" s="16"/>
      <c r="J40" s="82"/>
      <c r="K40" s="49"/>
    </row>
    <row r="41" spans="1:11" ht="18.5">
      <c r="A41" s="117" t="s">
        <v>113</v>
      </c>
      <c r="B41" s="118" t="s">
        <v>114</v>
      </c>
      <c r="C41" s="124">
        <v>13030</v>
      </c>
      <c r="D41" s="120">
        <v>1.5</v>
      </c>
      <c r="E41" s="120">
        <v>15</v>
      </c>
      <c r="F41" s="121">
        <f t="shared" si="0"/>
        <v>0.25</v>
      </c>
      <c r="G41" s="122"/>
      <c r="H41" s="16"/>
      <c r="I41" s="16"/>
      <c r="J41" s="82"/>
      <c r="K41" s="49"/>
    </row>
    <row r="42" spans="1:11" ht="18.5">
      <c r="A42" s="117" t="s">
        <v>115</v>
      </c>
      <c r="B42" s="118" t="s">
        <v>128</v>
      </c>
      <c r="C42" s="119" t="s">
        <v>133</v>
      </c>
      <c r="D42" s="120">
        <v>2</v>
      </c>
      <c r="E42" s="120">
        <v>20</v>
      </c>
      <c r="F42" s="121">
        <f t="shared" si="0"/>
        <v>0.33333333333333331</v>
      </c>
      <c r="G42" s="122"/>
      <c r="H42" s="16"/>
      <c r="I42" s="16"/>
      <c r="J42" s="82"/>
      <c r="K42" s="49"/>
    </row>
    <row r="43" spans="1:11" ht="18.5">
      <c r="A43" s="117" t="s">
        <v>116</v>
      </c>
      <c r="B43" s="118" t="s">
        <v>117</v>
      </c>
      <c r="C43" s="119" t="s">
        <v>126</v>
      </c>
      <c r="D43" s="120">
        <v>1</v>
      </c>
      <c r="E43" s="120">
        <v>60</v>
      </c>
      <c r="F43" s="121">
        <f t="shared" si="0"/>
        <v>1</v>
      </c>
      <c r="G43" s="122"/>
      <c r="H43" s="16"/>
      <c r="I43" s="16"/>
      <c r="J43" s="82"/>
      <c r="K43" s="49"/>
    </row>
    <row r="44" spans="1:11" ht="18.5">
      <c r="A44" s="117" t="s">
        <v>134</v>
      </c>
      <c r="B44" s="118" t="s">
        <v>79</v>
      </c>
      <c r="C44" s="124">
        <v>13040</v>
      </c>
      <c r="D44" s="120">
        <v>2</v>
      </c>
      <c r="E44" s="120">
        <v>15</v>
      </c>
      <c r="F44" s="121">
        <f t="shared" si="0"/>
        <v>0.25</v>
      </c>
      <c r="G44" s="122"/>
      <c r="H44" s="16"/>
      <c r="I44" s="16"/>
      <c r="J44" s="82"/>
      <c r="K44" s="49"/>
    </row>
    <row r="45" spans="1:11" ht="18.5">
      <c r="A45" s="117" t="s">
        <v>135</v>
      </c>
      <c r="B45" s="118" t="s">
        <v>117</v>
      </c>
      <c r="C45" s="119" t="s">
        <v>126</v>
      </c>
      <c r="D45" s="120">
        <v>1</v>
      </c>
      <c r="E45" s="120">
        <v>145</v>
      </c>
      <c r="F45" s="121">
        <f t="shared" si="0"/>
        <v>2.4166666666666665</v>
      </c>
      <c r="G45" s="122"/>
      <c r="H45" s="16"/>
      <c r="I45" s="16"/>
      <c r="J45" s="82"/>
      <c r="K45" s="49"/>
    </row>
    <row r="46" spans="1:11">
      <c r="A46" s="117" t="s">
        <v>136</v>
      </c>
      <c r="B46" s="118" t="s">
        <v>75</v>
      </c>
      <c r="C46" s="119">
        <v>13009</v>
      </c>
      <c r="D46" s="120">
        <v>2.2999999999999998</v>
      </c>
      <c r="E46" s="120">
        <v>5</v>
      </c>
      <c r="F46" s="121">
        <f t="shared" si="0"/>
        <v>8.3333333333333329E-2</v>
      </c>
      <c r="G46" s="122"/>
    </row>
    <row r="47" spans="1:11" ht="19" thickBot="1">
      <c r="A47" s="125" t="s">
        <v>137</v>
      </c>
      <c r="B47" s="126" t="s">
        <v>73</v>
      </c>
      <c r="C47" s="127" t="s">
        <v>125</v>
      </c>
      <c r="D47" s="128">
        <v>1</v>
      </c>
      <c r="E47" s="128">
        <v>90</v>
      </c>
      <c r="F47" s="129">
        <f t="shared" si="0"/>
        <v>1.5</v>
      </c>
      <c r="G47" s="130"/>
      <c r="H47" s="16"/>
      <c r="I47" s="16"/>
      <c r="J47" s="82"/>
      <c r="K47" s="49"/>
    </row>
    <row r="48" spans="1:11" ht="18" customHeight="1" thickBot="1">
      <c r="A48" s="170" t="s">
        <v>21</v>
      </c>
      <c r="B48" s="170"/>
      <c r="C48" s="170"/>
      <c r="D48" s="170"/>
      <c r="E48" s="170"/>
      <c r="F48" s="170"/>
      <c r="G48" s="170"/>
      <c r="H48" s="16"/>
    </row>
    <row r="49" spans="1:9" ht="18" customHeight="1">
      <c r="A49" s="111" t="s">
        <v>72</v>
      </c>
      <c r="B49" s="112" t="s">
        <v>73</v>
      </c>
      <c r="C49" s="131" t="s">
        <v>125</v>
      </c>
      <c r="D49" s="132">
        <v>1</v>
      </c>
      <c r="E49" s="133">
        <v>450</v>
      </c>
      <c r="F49" s="147">
        <f>E49/60</f>
        <v>7.5</v>
      </c>
      <c r="G49" s="134"/>
      <c r="H49" s="16"/>
    </row>
    <row r="50" spans="1:9" ht="18" customHeight="1">
      <c r="A50" s="117" t="s">
        <v>138</v>
      </c>
      <c r="B50" s="118" t="s">
        <v>75</v>
      </c>
      <c r="C50" s="135">
        <v>13009</v>
      </c>
      <c r="D50" s="136">
        <v>2.2999999999999998</v>
      </c>
      <c r="E50" s="124">
        <v>5</v>
      </c>
      <c r="F50" s="148">
        <f t="shared" ref="F50:F78" si="1">E50/60</f>
        <v>8.3333333333333329E-2</v>
      </c>
      <c r="G50" s="137"/>
      <c r="H50" s="16"/>
    </row>
    <row r="51" spans="1:9" ht="18" customHeight="1">
      <c r="A51" s="117" t="s">
        <v>139</v>
      </c>
      <c r="B51" s="118" t="s">
        <v>79</v>
      </c>
      <c r="C51" s="136">
        <v>13040</v>
      </c>
      <c r="D51" s="136">
        <v>2</v>
      </c>
      <c r="E51" s="124">
        <v>10</v>
      </c>
      <c r="F51" s="148">
        <f t="shared" si="1"/>
        <v>0.16666666666666666</v>
      </c>
      <c r="G51" s="137"/>
      <c r="H51" s="16"/>
    </row>
    <row r="52" spans="1:9" ht="18" customHeight="1">
      <c r="A52" s="117" t="s">
        <v>141</v>
      </c>
      <c r="B52" s="123" t="s">
        <v>140</v>
      </c>
      <c r="C52" s="135" t="s">
        <v>222</v>
      </c>
      <c r="D52" s="136">
        <v>2.8</v>
      </c>
      <c r="E52" s="124">
        <v>10</v>
      </c>
      <c r="F52" s="148">
        <f t="shared" si="1"/>
        <v>0.16666666666666666</v>
      </c>
      <c r="G52" s="137"/>
      <c r="H52" s="16"/>
    </row>
    <row r="53" spans="1:9" ht="18" customHeight="1">
      <c r="A53" s="117" t="s">
        <v>142</v>
      </c>
      <c r="B53" s="138" t="s">
        <v>81</v>
      </c>
      <c r="C53" s="136">
        <v>13020</v>
      </c>
      <c r="D53" s="136">
        <v>2.8</v>
      </c>
      <c r="E53" s="124">
        <v>15</v>
      </c>
      <c r="F53" s="148">
        <f t="shared" si="1"/>
        <v>0.25</v>
      </c>
      <c r="G53" s="137"/>
      <c r="H53" s="16"/>
    </row>
    <row r="54" spans="1:9" ht="18" customHeight="1">
      <c r="A54" s="117" t="s">
        <v>143</v>
      </c>
      <c r="B54" s="118" t="s">
        <v>228</v>
      </c>
      <c r="C54" s="140" t="s">
        <v>227</v>
      </c>
      <c r="D54" s="136">
        <v>1.5</v>
      </c>
      <c r="E54" s="124">
        <v>10</v>
      </c>
      <c r="F54" s="148">
        <f t="shared" si="1"/>
        <v>0.16666666666666666</v>
      </c>
      <c r="G54" s="137"/>
      <c r="H54" s="16"/>
    </row>
    <row r="55" spans="1:9" ht="18" customHeight="1">
      <c r="A55" s="117" t="s">
        <v>144</v>
      </c>
      <c r="B55" s="118" t="s">
        <v>145</v>
      </c>
      <c r="C55" s="135" t="s">
        <v>223</v>
      </c>
      <c r="D55" s="136">
        <v>2.2999999999999998</v>
      </c>
      <c r="E55" s="124">
        <v>10</v>
      </c>
      <c r="F55" s="148">
        <f t="shared" si="1"/>
        <v>0.16666666666666666</v>
      </c>
      <c r="G55" s="137"/>
      <c r="H55" s="16"/>
    </row>
    <row r="56" spans="1:9" ht="18" customHeight="1">
      <c r="A56" s="117" t="s">
        <v>78</v>
      </c>
      <c r="B56" s="138" t="s">
        <v>148</v>
      </c>
      <c r="C56" s="135" t="s">
        <v>225</v>
      </c>
      <c r="D56" s="136">
        <v>2</v>
      </c>
      <c r="E56" s="124">
        <v>40</v>
      </c>
      <c r="F56" s="148">
        <f t="shared" si="1"/>
        <v>0.66666666666666663</v>
      </c>
      <c r="G56" s="137"/>
      <c r="H56" s="16"/>
    </row>
    <row r="57" spans="1:9" ht="18" customHeight="1">
      <c r="A57" s="117" t="s">
        <v>146</v>
      </c>
      <c r="B57" s="118" t="s">
        <v>147</v>
      </c>
      <c r="C57" s="140">
        <v>16060</v>
      </c>
      <c r="D57" s="136">
        <v>3.5</v>
      </c>
      <c r="E57" s="124">
        <v>10</v>
      </c>
      <c r="F57" s="148">
        <f t="shared" si="1"/>
        <v>0.16666666666666666</v>
      </c>
      <c r="G57" s="137"/>
      <c r="H57" s="16"/>
    </row>
    <row r="58" spans="1:9" ht="18" customHeight="1">
      <c r="A58" s="117" t="s">
        <v>149</v>
      </c>
      <c r="B58" s="118" t="s">
        <v>150</v>
      </c>
      <c r="C58" s="135" t="s">
        <v>229</v>
      </c>
      <c r="D58" s="136">
        <v>1.5</v>
      </c>
      <c r="E58" s="124">
        <v>50</v>
      </c>
      <c r="F58" s="148">
        <f t="shared" si="1"/>
        <v>0.83333333333333337</v>
      </c>
      <c r="G58" s="137"/>
      <c r="H58" s="16"/>
    </row>
    <row r="59" spans="1:9" ht="18" customHeight="1">
      <c r="A59" s="117" t="s">
        <v>91</v>
      </c>
      <c r="B59" s="118" t="s">
        <v>151</v>
      </c>
      <c r="C59" s="140">
        <v>16060</v>
      </c>
      <c r="D59" s="136">
        <v>3.5</v>
      </c>
      <c r="E59" s="124">
        <v>15</v>
      </c>
      <c r="F59" s="148">
        <f t="shared" si="1"/>
        <v>0.25</v>
      </c>
      <c r="G59" s="137"/>
      <c r="H59" s="16"/>
    </row>
    <row r="60" spans="1:9" ht="18" customHeight="1">
      <c r="A60" s="117" t="s">
        <v>152</v>
      </c>
      <c r="B60" s="118" t="s">
        <v>87</v>
      </c>
      <c r="C60" s="136">
        <v>11582</v>
      </c>
      <c r="D60" s="136">
        <v>1.3</v>
      </c>
      <c r="E60" s="124">
        <v>60</v>
      </c>
      <c r="F60" s="148">
        <f t="shared" si="1"/>
        <v>1</v>
      </c>
      <c r="G60" s="137"/>
      <c r="H60" s="16"/>
      <c r="I60" s="16"/>
    </row>
    <row r="61" spans="1:9" ht="18" customHeight="1">
      <c r="A61" s="117" t="s">
        <v>157</v>
      </c>
      <c r="B61" s="118" t="s">
        <v>230</v>
      </c>
      <c r="C61" s="140">
        <v>13035</v>
      </c>
      <c r="D61" s="136">
        <v>2</v>
      </c>
      <c r="E61" s="124">
        <v>15</v>
      </c>
      <c r="F61" s="148">
        <f t="shared" si="1"/>
        <v>0.25</v>
      </c>
      <c r="G61" s="137"/>
      <c r="H61" s="16"/>
    </row>
    <row r="62" spans="1:9" ht="18" customHeight="1">
      <c r="A62" s="117" t="s">
        <v>160</v>
      </c>
      <c r="B62" s="118" t="s">
        <v>159</v>
      </c>
      <c r="C62" s="135" t="s">
        <v>231</v>
      </c>
      <c r="D62" s="136">
        <v>3.3</v>
      </c>
      <c r="E62" s="124">
        <v>5</v>
      </c>
      <c r="F62" s="148">
        <f t="shared" si="1"/>
        <v>8.3333333333333329E-2</v>
      </c>
      <c r="G62" s="137"/>
      <c r="H62" s="16"/>
    </row>
    <row r="63" spans="1:9" ht="18" customHeight="1">
      <c r="A63" s="117" t="s">
        <v>220</v>
      </c>
      <c r="B63" s="139" t="s">
        <v>161</v>
      </c>
      <c r="C63" s="135" t="s">
        <v>129</v>
      </c>
      <c r="D63" s="140">
        <v>2.2999999999999998</v>
      </c>
      <c r="E63" s="124">
        <v>5</v>
      </c>
      <c r="F63" s="148">
        <f t="shared" si="1"/>
        <v>8.3333333333333329E-2</v>
      </c>
      <c r="G63" s="137"/>
      <c r="H63" s="16"/>
    </row>
    <row r="64" spans="1:9" ht="18" customHeight="1">
      <c r="A64" s="117" t="s">
        <v>221</v>
      </c>
      <c r="B64" s="118" t="s">
        <v>87</v>
      </c>
      <c r="C64" s="136">
        <v>11582</v>
      </c>
      <c r="D64" s="136">
        <v>1.3</v>
      </c>
      <c r="E64" s="124">
        <v>70</v>
      </c>
      <c r="F64" s="148">
        <f t="shared" si="1"/>
        <v>1.1666666666666667</v>
      </c>
      <c r="G64" s="137"/>
      <c r="H64" s="16"/>
    </row>
    <row r="65" spans="1:11" ht="18" customHeight="1">
      <c r="A65" s="117" t="s">
        <v>165</v>
      </c>
      <c r="B65" s="118" t="s">
        <v>75</v>
      </c>
      <c r="C65" s="135">
        <v>13009</v>
      </c>
      <c r="D65" s="136">
        <v>2.2999999999999998</v>
      </c>
      <c r="E65" s="124">
        <v>5</v>
      </c>
      <c r="F65" s="148">
        <f t="shared" si="1"/>
        <v>8.3333333333333329E-2</v>
      </c>
      <c r="G65" s="137"/>
      <c r="H65" s="16"/>
    </row>
    <row r="66" spans="1:11" ht="18" customHeight="1">
      <c r="A66" s="117" t="s">
        <v>166</v>
      </c>
      <c r="B66" s="118" t="s">
        <v>87</v>
      </c>
      <c r="C66" s="136">
        <v>11582</v>
      </c>
      <c r="D66" s="136">
        <v>1.3</v>
      </c>
      <c r="E66" s="124">
        <v>235</v>
      </c>
      <c r="F66" s="148">
        <f t="shared" si="1"/>
        <v>3.9166666666666665</v>
      </c>
      <c r="G66" s="137"/>
      <c r="H66" s="16"/>
    </row>
    <row r="67" spans="1:11" ht="18" customHeight="1">
      <c r="A67" s="117" t="s">
        <v>173</v>
      </c>
      <c r="B67" s="118" t="s">
        <v>167</v>
      </c>
      <c r="C67" s="140">
        <v>16060</v>
      </c>
      <c r="D67" s="136">
        <v>3.5</v>
      </c>
      <c r="E67" s="124">
        <v>10</v>
      </c>
      <c r="F67" s="148">
        <f t="shared" si="1"/>
        <v>0.16666666666666666</v>
      </c>
      <c r="G67" s="137"/>
      <c r="H67" s="16"/>
    </row>
    <row r="68" spans="1:11" ht="18" customHeight="1">
      <c r="A68" s="117" t="s">
        <v>174</v>
      </c>
      <c r="B68" s="138" t="s">
        <v>148</v>
      </c>
      <c r="C68" s="135" t="s">
        <v>225</v>
      </c>
      <c r="D68" s="136">
        <v>2</v>
      </c>
      <c r="E68" s="124">
        <v>20</v>
      </c>
      <c r="F68" s="148">
        <f t="shared" si="1"/>
        <v>0.33333333333333331</v>
      </c>
      <c r="G68" s="137"/>
      <c r="H68" s="16"/>
    </row>
    <row r="69" spans="1:11" ht="18" customHeight="1">
      <c r="A69" s="117" t="s">
        <v>175</v>
      </c>
      <c r="B69" s="118" t="s">
        <v>106</v>
      </c>
      <c r="C69" s="135" t="s">
        <v>129</v>
      </c>
      <c r="D69" s="136">
        <v>2.2999999999999998</v>
      </c>
      <c r="E69" s="124">
        <v>45</v>
      </c>
      <c r="F69" s="148">
        <f t="shared" si="1"/>
        <v>0.75</v>
      </c>
      <c r="G69" s="137"/>
      <c r="H69" s="16"/>
    </row>
    <row r="70" spans="1:11" ht="18" customHeight="1">
      <c r="A70" s="117" t="s">
        <v>176</v>
      </c>
      <c r="B70" s="118" t="s">
        <v>128</v>
      </c>
      <c r="C70" s="135" t="s">
        <v>133</v>
      </c>
      <c r="D70" s="136">
        <v>2</v>
      </c>
      <c r="E70" s="124">
        <v>10</v>
      </c>
      <c r="F70" s="148">
        <f t="shared" si="1"/>
        <v>0.16666666666666666</v>
      </c>
      <c r="G70" s="137"/>
      <c r="H70" s="16"/>
    </row>
    <row r="71" spans="1:11" ht="18" customHeight="1">
      <c r="A71" s="117" t="s">
        <v>115</v>
      </c>
      <c r="B71" s="118" t="s">
        <v>114</v>
      </c>
      <c r="C71" s="136">
        <v>13030</v>
      </c>
      <c r="D71" s="136">
        <v>1.5</v>
      </c>
      <c r="E71" s="124">
        <v>15</v>
      </c>
      <c r="F71" s="148">
        <f t="shared" si="1"/>
        <v>0.25</v>
      </c>
      <c r="G71" s="137"/>
      <c r="H71" s="16"/>
    </row>
    <row r="72" spans="1:11" ht="18" customHeight="1">
      <c r="A72" s="117" t="s">
        <v>177</v>
      </c>
      <c r="B72" s="118" t="s">
        <v>112</v>
      </c>
      <c r="C72" s="136">
        <v>13050</v>
      </c>
      <c r="D72" s="141">
        <v>2</v>
      </c>
      <c r="E72" s="120">
        <v>20</v>
      </c>
      <c r="F72" s="148">
        <f t="shared" si="1"/>
        <v>0.33333333333333331</v>
      </c>
      <c r="G72" s="137"/>
      <c r="H72" s="16"/>
    </row>
    <row r="73" spans="1:11" ht="18" customHeight="1">
      <c r="A73" s="117" t="s">
        <v>179</v>
      </c>
      <c r="B73" s="118" t="s">
        <v>178</v>
      </c>
      <c r="C73" s="135" t="s">
        <v>224</v>
      </c>
      <c r="D73" s="136">
        <v>2</v>
      </c>
      <c r="E73" s="124">
        <v>15</v>
      </c>
      <c r="F73" s="148">
        <f t="shared" si="1"/>
        <v>0.25</v>
      </c>
      <c r="G73" s="137"/>
      <c r="H73" s="16"/>
    </row>
    <row r="74" spans="1:11" ht="18.5">
      <c r="A74" s="117" t="s">
        <v>207</v>
      </c>
      <c r="B74" s="139" t="s">
        <v>180</v>
      </c>
      <c r="C74" s="135" t="s">
        <v>226</v>
      </c>
      <c r="D74" s="140">
        <v>1</v>
      </c>
      <c r="E74" s="142">
        <v>45</v>
      </c>
      <c r="F74" s="148">
        <f t="shared" si="1"/>
        <v>0.75</v>
      </c>
      <c r="G74" s="137"/>
      <c r="H74" s="16"/>
      <c r="J74" s="49"/>
      <c r="K74" s="49"/>
    </row>
    <row r="75" spans="1:11">
      <c r="A75" s="117" t="s">
        <v>135</v>
      </c>
      <c r="B75" s="118" t="s">
        <v>79</v>
      </c>
      <c r="C75" s="136">
        <v>13040</v>
      </c>
      <c r="D75" s="136">
        <v>2</v>
      </c>
      <c r="E75" s="124">
        <v>10</v>
      </c>
      <c r="F75" s="148">
        <f t="shared" si="1"/>
        <v>0.16666666666666666</v>
      </c>
      <c r="G75" s="137"/>
      <c r="H75" s="16"/>
    </row>
    <row r="76" spans="1:11" ht="16" customHeight="1">
      <c r="A76" s="117" t="s">
        <v>181</v>
      </c>
      <c r="B76" s="118" t="s">
        <v>117</v>
      </c>
      <c r="C76" s="135" t="s">
        <v>126</v>
      </c>
      <c r="D76" s="136">
        <v>1</v>
      </c>
      <c r="E76" s="124">
        <v>120</v>
      </c>
      <c r="F76" s="148">
        <f t="shared" si="1"/>
        <v>2</v>
      </c>
      <c r="G76" s="137"/>
      <c r="H76" s="16"/>
    </row>
    <row r="77" spans="1:11" ht="16" customHeight="1">
      <c r="A77" s="117" t="s">
        <v>182</v>
      </c>
      <c r="B77" s="118" t="s">
        <v>75</v>
      </c>
      <c r="C77" s="135">
        <v>13009</v>
      </c>
      <c r="D77" s="136">
        <v>2.2999999999999998</v>
      </c>
      <c r="E77" s="124">
        <v>5</v>
      </c>
      <c r="F77" s="148">
        <f t="shared" si="1"/>
        <v>8.3333333333333329E-2</v>
      </c>
      <c r="G77" s="137"/>
      <c r="H77" s="16"/>
    </row>
    <row r="78" spans="1:11" ht="16" customHeight="1" thickBot="1">
      <c r="A78" s="125" t="s">
        <v>183</v>
      </c>
      <c r="B78" s="126" t="s">
        <v>73</v>
      </c>
      <c r="C78" s="143" t="s">
        <v>125</v>
      </c>
      <c r="D78" s="144">
        <v>1</v>
      </c>
      <c r="E78" s="145">
        <v>105</v>
      </c>
      <c r="F78" s="149">
        <f t="shared" si="1"/>
        <v>1.75</v>
      </c>
      <c r="G78" s="146"/>
      <c r="H78" s="16"/>
    </row>
    <row r="79" spans="1:11" ht="15" thickBot="1">
      <c r="A79" s="170" t="s">
        <v>22</v>
      </c>
      <c r="B79" s="170"/>
      <c r="C79" s="170"/>
      <c r="D79" s="170"/>
      <c r="E79" s="170"/>
      <c r="F79" s="170"/>
      <c r="G79" s="170"/>
      <c r="H79" s="16"/>
    </row>
    <row r="80" spans="1:11" ht="18.5">
      <c r="A80" s="111" t="s">
        <v>72</v>
      </c>
      <c r="B80" s="112" t="s">
        <v>73</v>
      </c>
      <c r="C80" s="113" t="s">
        <v>125</v>
      </c>
      <c r="D80" s="114">
        <v>1</v>
      </c>
      <c r="E80" s="133">
        <v>525</v>
      </c>
      <c r="F80" s="147">
        <f>E80/60</f>
        <v>8.75</v>
      </c>
      <c r="G80" s="134"/>
      <c r="H80" s="16"/>
      <c r="J80" s="49"/>
      <c r="K80" s="49"/>
    </row>
    <row r="81" spans="1:11" ht="18.5">
      <c r="A81" s="117" t="s">
        <v>80</v>
      </c>
      <c r="B81" s="118" t="s">
        <v>75</v>
      </c>
      <c r="C81" s="119">
        <v>13009</v>
      </c>
      <c r="D81" s="124">
        <v>2.2999999999999998</v>
      </c>
      <c r="E81" s="124">
        <v>5</v>
      </c>
      <c r="F81" s="148">
        <f t="shared" ref="F81:F101" si="2">E81/60</f>
        <v>8.3333333333333329E-2</v>
      </c>
      <c r="G81" s="137"/>
      <c r="H81" s="16"/>
      <c r="I81" s="50"/>
      <c r="J81" s="49"/>
      <c r="K81" s="49"/>
    </row>
    <row r="82" spans="1:11" ht="18.5">
      <c r="A82" s="117" t="s">
        <v>82</v>
      </c>
      <c r="B82" s="123" t="s">
        <v>140</v>
      </c>
      <c r="C82" s="119" t="s">
        <v>222</v>
      </c>
      <c r="D82" s="124">
        <v>2.8</v>
      </c>
      <c r="E82" s="124">
        <v>10</v>
      </c>
      <c r="F82" s="148">
        <f t="shared" si="2"/>
        <v>0.16666666666666666</v>
      </c>
      <c r="G82" s="137"/>
      <c r="H82" s="16"/>
      <c r="I82" s="50"/>
      <c r="J82" s="49"/>
      <c r="K82" s="49"/>
    </row>
    <row r="83" spans="1:11" ht="18.5">
      <c r="A83" s="117" t="s">
        <v>84</v>
      </c>
      <c r="B83" s="118" t="s">
        <v>79</v>
      </c>
      <c r="C83" s="124">
        <v>13040</v>
      </c>
      <c r="D83" s="124">
        <v>2</v>
      </c>
      <c r="E83" s="124">
        <v>10</v>
      </c>
      <c r="F83" s="148">
        <f t="shared" si="2"/>
        <v>0.16666666666666666</v>
      </c>
      <c r="G83" s="137"/>
      <c r="H83" s="16"/>
      <c r="I83" s="50"/>
      <c r="J83" s="49"/>
      <c r="K83" s="49"/>
    </row>
    <row r="84" spans="1:11" ht="18.5">
      <c r="A84" s="117" t="s">
        <v>146</v>
      </c>
      <c r="B84" s="118" t="s">
        <v>87</v>
      </c>
      <c r="C84" s="124">
        <v>11582</v>
      </c>
      <c r="D84" s="124">
        <v>1.3</v>
      </c>
      <c r="E84" s="124">
        <v>50</v>
      </c>
      <c r="F84" s="148">
        <f t="shared" si="2"/>
        <v>0.83333333333333337</v>
      </c>
      <c r="G84" s="137"/>
      <c r="H84" s="16"/>
      <c r="I84" s="50"/>
      <c r="J84" s="49"/>
      <c r="K84" s="49"/>
    </row>
    <row r="85" spans="1:11" ht="18.5">
      <c r="A85" s="117" t="s">
        <v>203</v>
      </c>
      <c r="B85" s="118" t="s">
        <v>202</v>
      </c>
      <c r="C85" s="135" t="s">
        <v>129</v>
      </c>
      <c r="D85" s="136">
        <v>2.2999999999999998</v>
      </c>
      <c r="E85" s="124">
        <v>10</v>
      </c>
      <c r="F85" s="148">
        <f t="shared" si="2"/>
        <v>0.16666666666666666</v>
      </c>
      <c r="G85" s="137"/>
      <c r="H85" s="16"/>
      <c r="I85" s="50"/>
      <c r="J85" s="49"/>
      <c r="K85" s="49"/>
    </row>
    <row r="86" spans="1:11" ht="18.5">
      <c r="A86" s="117" t="s">
        <v>91</v>
      </c>
      <c r="B86" s="118" t="s">
        <v>87</v>
      </c>
      <c r="C86" s="124">
        <v>11582</v>
      </c>
      <c r="D86" s="124">
        <v>1.3</v>
      </c>
      <c r="E86" s="124">
        <v>110</v>
      </c>
      <c r="F86" s="148">
        <f t="shared" si="2"/>
        <v>1.8333333333333333</v>
      </c>
      <c r="G86" s="137"/>
      <c r="H86" s="16"/>
      <c r="I86" s="50"/>
      <c r="J86" s="49"/>
      <c r="K86" s="49"/>
    </row>
    <row r="87" spans="1:11" ht="18.5">
      <c r="A87" s="117" t="s">
        <v>93</v>
      </c>
      <c r="B87" s="118" t="s">
        <v>230</v>
      </c>
      <c r="C87" s="136">
        <v>13035</v>
      </c>
      <c r="D87" s="136">
        <v>2</v>
      </c>
      <c r="E87" s="124">
        <v>30</v>
      </c>
      <c r="F87" s="148">
        <f t="shared" si="2"/>
        <v>0.5</v>
      </c>
      <c r="G87" s="137"/>
      <c r="H87" s="16"/>
      <c r="I87" s="50"/>
      <c r="J87" s="49"/>
      <c r="K87" s="49"/>
    </row>
    <row r="88" spans="1:11" ht="18.5">
      <c r="A88" s="117" t="s">
        <v>204</v>
      </c>
      <c r="B88" s="123" t="s">
        <v>140</v>
      </c>
      <c r="C88" s="135" t="s">
        <v>222</v>
      </c>
      <c r="D88" s="136">
        <v>2.8</v>
      </c>
      <c r="E88" s="124">
        <v>10</v>
      </c>
      <c r="F88" s="148">
        <f t="shared" si="2"/>
        <v>0.16666666666666666</v>
      </c>
      <c r="G88" s="137"/>
      <c r="H88" s="16"/>
      <c r="I88" s="50"/>
      <c r="J88" s="49"/>
      <c r="K88" s="49"/>
    </row>
    <row r="89" spans="1:11" ht="18.5">
      <c r="A89" s="117" t="s">
        <v>205</v>
      </c>
      <c r="B89" s="118" t="s">
        <v>87</v>
      </c>
      <c r="C89" s="124">
        <v>11582</v>
      </c>
      <c r="D89" s="124">
        <v>1.3</v>
      </c>
      <c r="E89" s="124">
        <v>185</v>
      </c>
      <c r="F89" s="148">
        <f t="shared" si="2"/>
        <v>3.0833333333333335</v>
      </c>
      <c r="G89" s="137"/>
      <c r="H89" s="16"/>
      <c r="I89" s="50"/>
      <c r="J89" s="49"/>
      <c r="K89" s="49"/>
    </row>
    <row r="90" spans="1:11" ht="18.5">
      <c r="A90" s="117" t="s">
        <v>206</v>
      </c>
      <c r="B90" s="118" t="s">
        <v>75</v>
      </c>
      <c r="C90" s="119">
        <v>13009</v>
      </c>
      <c r="D90" s="124">
        <v>2.2999999999999998</v>
      </c>
      <c r="E90" s="124">
        <v>5</v>
      </c>
      <c r="F90" s="148">
        <f t="shared" si="2"/>
        <v>8.3333333333333329E-2</v>
      </c>
      <c r="G90" s="137"/>
      <c r="H90" s="16"/>
      <c r="I90" s="50"/>
      <c r="J90" s="49"/>
      <c r="K90" s="49"/>
    </row>
    <row r="91" spans="1:11" ht="18.5">
      <c r="A91" s="117" t="s">
        <v>102</v>
      </c>
      <c r="B91" s="118" t="s">
        <v>87</v>
      </c>
      <c r="C91" s="124">
        <v>11582</v>
      </c>
      <c r="D91" s="124">
        <v>1.3</v>
      </c>
      <c r="E91" s="124">
        <v>100</v>
      </c>
      <c r="F91" s="148">
        <f t="shared" si="2"/>
        <v>1.6666666666666667</v>
      </c>
      <c r="G91" s="137"/>
      <c r="H91" s="16"/>
      <c r="I91" s="81"/>
      <c r="J91" s="49"/>
      <c r="K91" s="49"/>
    </row>
    <row r="92" spans="1:11" ht="18.5">
      <c r="A92" s="117" t="s">
        <v>175</v>
      </c>
      <c r="B92" s="118" t="s">
        <v>112</v>
      </c>
      <c r="C92" s="124">
        <v>13050</v>
      </c>
      <c r="D92" s="120">
        <v>2</v>
      </c>
      <c r="E92" s="120">
        <v>15</v>
      </c>
      <c r="F92" s="148">
        <f t="shared" si="2"/>
        <v>0.25</v>
      </c>
      <c r="G92" s="137"/>
      <c r="H92" s="16"/>
      <c r="I92" s="50"/>
      <c r="J92" s="49"/>
      <c r="K92" s="49"/>
    </row>
    <row r="93" spans="1:11" ht="18.5">
      <c r="A93" s="117" t="s">
        <v>208</v>
      </c>
      <c r="B93" s="138" t="s">
        <v>81</v>
      </c>
      <c r="C93" s="124">
        <v>13020</v>
      </c>
      <c r="D93" s="124">
        <v>2.8</v>
      </c>
      <c r="E93" s="124">
        <v>10</v>
      </c>
      <c r="F93" s="148">
        <f t="shared" si="2"/>
        <v>0.16666666666666666</v>
      </c>
      <c r="G93" s="137"/>
      <c r="H93" s="16"/>
      <c r="I93" s="50"/>
      <c r="J93" s="49"/>
      <c r="K93" s="49"/>
    </row>
    <row r="94" spans="1:11" ht="18.5">
      <c r="A94" s="117" t="s">
        <v>210</v>
      </c>
      <c r="B94" s="138" t="s">
        <v>209</v>
      </c>
      <c r="C94" s="119" t="s">
        <v>225</v>
      </c>
      <c r="D94" s="124">
        <v>2</v>
      </c>
      <c r="E94" s="124">
        <v>20</v>
      </c>
      <c r="F94" s="148">
        <f t="shared" si="2"/>
        <v>0.33333333333333331</v>
      </c>
      <c r="G94" s="137"/>
      <c r="H94" s="16"/>
      <c r="I94" s="50"/>
      <c r="J94" s="49"/>
      <c r="K94" s="49"/>
    </row>
    <row r="95" spans="1:11" ht="18.5">
      <c r="A95" s="117" t="s">
        <v>176</v>
      </c>
      <c r="B95" s="118" t="s">
        <v>214</v>
      </c>
      <c r="C95" s="124">
        <v>13030</v>
      </c>
      <c r="D95" s="124">
        <v>1.5</v>
      </c>
      <c r="E95" s="124">
        <v>20</v>
      </c>
      <c r="F95" s="148">
        <f t="shared" si="2"/>
        <v>0.33333333333333331</v>
      </c>
      <c r="G95" s="137"/>
      <c r="H95" s="16"/>
      <c r="I95" s="50"/>
      <c r="J95" s="49"/>
      <c r="K95" s="49"/>
    </row>
    <row r="96" spans="1:11" ht="18.5">
      <c r="A96" s="117" t="s">
        <v>212</v>
      </c>
      <c r="B96" s="138" t="s">
        <v>213</v>
      </c>
      <c r="C96" s="119" t="s">
        <v>232</v>
      </c>
      <c r="D96" s="124">
        <v>2.2999999999999998</v>
      </c>
      <c r="E96" s="124">
        <v>55</v>
      </c>
      <c r="F96" s="148">
        <f t="shared" si="2"/>
        <v>0.91666666666666663</v>
      </c>
      <c r="G96" s="137"/>
      <c r="H96" s="16"/>
      <c r="I96" s="50"/>
      <c r="J96" s="49"/>
      <c r="K96" s="49"/>
    </row>
    <row r="97" spans="1:11" ht="18.5">
      <c r="A97" s="117" t="s">
        <v>215</v>
      </c>
      <c r="B97" s="118" t="s">
        <v>216</v>
      </c>
      <c r="C97" s="135" t="s">
        <v>133</v>
      </c>
      <c r="D97" s="124">
        <v>2</v>
      </c>
      <c r="E97" s="124">
        <v>10</v>
      </c>
      <c r="F97" s="148">
        <f t="shared" si="2"/>
        <v>0.16666666666666666</v>
      </c>
      <c r="G97" s="137"/>
      <c r="H97" s="16"/>
      <c r="I97" s="50"/>
      <c r="J97" s="49"/>
      <c r="K97" s="49"/>
    </row>
    <row r="98" spans="1:11" ht="18.5">
      <c r="A98" s="117" t="s">
        <v>217</v>
      </c>
      <c r="B98" s="118" t="s">
        <v>79</v>
      </c>
      <c r="C98" s="124">
        <v>13040</v>
      </c>
      <c r="D98" s="124">
        <v>2</v>
      </c>
      <c r="E98" s="124">
        <v>10</v>
      </c>
      <c r="F98" s="148">
        <f t="shared" si="2"/>
        <v>0.16666666666666666</v>
      </c>
      <c r="G98" s="137"/>
      <c r="H98" s="16"/>
      <c r="I98" s="50"/>
      <c r="J98" s="49"/>
      <c r="K98" s="49"/>
    </row>
    <row r="99" spans="1:11">
      <c r="A99" s="117" t="s">
        <v>218</v>
      </c>
      <c r="B99" s="118" t="s">
        <v>117</v>
      </c>
      <c r="C99" s="119" t="s">
        <v>126</v>
      </c>
      <c r="D99" s="124">
        <v>1</v>
      </c>
      <c r="E99" s="124">
        <v>145</v>
      </c>
      <c r="F99" s="148">
        <f t="shared" si="2"/>
        <v>2.4166666666666665</v>
      </c>
      <c r="G99" s="137"/>
      <c r="H99" s="16"/>
    </row>
    <row r="100" spans="1:11">
      <c r="A100" s="117" t="s">
        <v>183</v>
      </c>
      <c r="B100" s="118" t="s">
        <v>75</v>
      </c>
      <c r="C100" s="119">
        <v>13009</v>
      </c>
      <c r="D100" s="124">
        <v>2.2999999999999998</v>
      </c>
      <c r="E100" s="124">
        <v>5</v>
      </c>
      <c r="F100" s="148">
        <f t="shared" si="2"/>
        <v>8.3333333333333329E-2</v>
      </c>
      <c r="G100" s="137"/>
      <c r="H100" s="16"/>
    </row>
    <row r="101" spans="1:11" ht="15" thickBot="1">
      <c r="A101" s="125" t="s">
        <v>219</v>
      </c>
      <c r="B101" s="126" t="s">
        <v>73</v>
      </c>
      <c r="C101" s="127" t="s">
        <v>125</v>
      </c>
      <c r="D101" s="145">
        <v>1</v>
      </c>
      <c r="E101" s="145">
        <v>100</v>
      </c>
      <c r="F101" s="149">
        <f t="shared" si="2"/>
        <v>1.6666666666666667</v>
      </c>
      <c r="G101" s="146"/>
      <c r="H101" s="16"/>
    </row>
    <row r="102" spans="1:11">
      <c r="F102" s="16"/>
      <c r="H102" s="16"/>
    </row>
    <row r="103" spans="1:11" ht="15" thickBot="1">
      <c r="A103" s="37" t="s">
        <v>48</v>
      </c>
      <c r="B103" s="39"/>
      <c r="H103" s="16"/>
    </row>
    <row r="104" spans="1:11" ht="29">
      <c r="A104" s="83" t="s">
        <v>49</v>
      </c>
      <c r="B104" s="52"/>
      <c r="F104" s="16"/>
      <c r="H104" s="16"/>
    </row>
    <row r="105" spans="1:11" ht="29.5" thickBot="1">
      <c r="A105" s="84" t="s">
        <v>50</v>
      </c>
      <c r="B105" s="53"/>
      <c r="C105" s="90" t="s">
        <v>34</v>
      </c>
    </row>
  </sheetData>
  <mergeCells count="3">
    <mergeCell ref="A15:G15"/>
    <mergeCell ref="A48:G48"/>
    <mergeCell ref="A79:G79"/>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Dietary Record</vt:lpstr>
      <vt:lpstr>2 Physical Activity Record</vt:lpstr>
    </vt:vector>
  </TitlesOfParts>
  <Manager/>
  <Company>University of New South Wales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Eser Zerenturk</dc:creator>
  <cp:keywords/>
  <dc:description/>
  <cp:lastModifiedBy>Nirmani Wijenayake Gamachchige</cp:lastModifiedBy>
  <cp:revision/>
  <dcterms:created xsi:type="dcterms:W3CDTF">2018-02-27T03:00:34Z</dcterms:created>
  <dcterms:modified xsi:type="dcterms:W3CDTF">2024-07-15T04:18:56Z</dcterms:modified>
  <cp:category/>
  <cp:contentStatus/>
</cp:coreProperties>
</file>